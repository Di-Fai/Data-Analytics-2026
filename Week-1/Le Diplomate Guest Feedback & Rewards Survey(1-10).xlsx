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imit\Documents\DataAnalytics\Week-1\"/>
    </mc:Choice>
  </mc:AlternateContent>
  <xr:revisionPtr revIDLastSave="0" documentId="13_ncr:1_{FB1980F2-9DB6-487B-9961-AE7A880195A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4" sheetId="4" r:id="rId1"/>
    <sheet name="Sheet1" sheetId="1" r:id="rId2"/>
  </sheets>
  <calcPr calcId="191029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1" l="1"/>
  <c r="L12" i="1"/>
  <c r="D2" i="1"/>
  <c r="D3" i="1"/>
  <c r="D4" i="1"/>
  <c r="D5" i="1"/>
  <c r="D6" i="1"/>
  <c r="D7" i="1"/>
  <c r="D8" i="1"/>
  <c r="D9" i="1"/>
  <c r="D10" i="1"/>
  <c r="D11" i="1"/>
  <c r="D12" i="1" l="1"/>
</calcChain>
</file>

<file path=xl/sharedStrings.xml><?xml version="1.0" encoding="utf-8"?>
<sst xmlns="http://schemas.openxmlformats.org/spreadsheetml/2006/main" count="133" uniqueCount="84">
  <si>
    <t>ID</t>
  </si>
  <si>
    <t>Start time</t>
  </si>
  <si>
    <t>Completion time</t>
  </si>
  <si>
    <t>Email</t>
  </si>
  <si>
    <t>Name</t>
  </si>
  <si>
    <t>Last modified time</t>
  </si>
  <si>
    <t>When recently did you visit Le Diplomate?</t>
  </si>
  <si>
    <t>How would you rate your overall experience at Le Diplomate?</t>
  </si>
  <si>
    <t>Which part of your experience stood out the most during your visit?</t>
  </si>
  <si>
    <t>How satisfied were you with the service you received?</t>
  </si>
  <si>
    <t>How often do you typically visit Le Diplomate?</t>
  </si>
  <si>
    <t>Would you be interested in joining a Le Diplomate rewards program?</t>
  </si>
  <si>
    <t>Which type of reward would most encourage you to return?</t>
  </si>
  <si>
    <t>How would you prefer to track your rewards?</t>
  </si>
  <si>
    <t>What is one thing we could improve to make your next visit better?</t>
  </si>
  <si>
    <t>dnji@my.yearupunited.org</t>
  </si>
  <si>
    <t>Today</t>
  </si>
  <si>
    <t>Exceptional</t>
  </si>
  <si>
    <t>Food quality;Service;Atmosphere;Drinks/desserts;Speed of service;</t>
  </si>
  <si>
    <t>Very satisfied</t>
  </si>
  <si>
    <t>Once a week or more</t>
  </si>
  <si>
    <t>No</t>
  </si>
  <si>
    <t>Exclusive member-only offers;Free upgrade or add-on;Birthday reward;Discounts on future visits;</t>
  </si>
  <si>
    <t>Email account;Mobile app;</t>
  </si>
  <si>
    <t>nothing</t>
  </si>
  <si>
    <t>anonymous</t>
  </si>
  <si>
    <t>Very good</t>
  </si>
  <si>
    <t>Atmosphere;</t>
  </si>
  <si>
    <t>A few times a year</t>
  </si>
  <si>
    <t>Maybe</t>
  </si>
  <si>
    <t>Discounts on future visits;Points toward free food or drinks;</t>
  </si>
  <si>
    <t>Phone number;Digital card;</t>
  </si>
  <si>
    <t xml:space="preserve">No improvements needed! </t>
  </si>
  <si>
    <t>Service;Food quality;Speed of service;</t>
  </si>
  <si>
    <t>Somewhat satisfied</t>
  </si>
  <si>
    <t>Yes</t>
  </si>
  <si>
    <t>Points toward free food or drinks;Discounts on future visits;Birthday reward;Exclusive member-only offers;Free upgrade or add-on;Priority reservations or special perks;</t>
  </si>
  <si>
    <t>Mobile app;</t>
  </si>
  <si>
    <t>Free Items!</t>
  </si>
  <si>
    <t>Within the past month</t>
  </si>
  <si>
    <t>Excellent</t>
  </si>
  <si>
    <t>Atmosphere;Food quality;</t>
  </si>
  <si>
    <t>A few times a month</t>
  </si>
  <si>
    <t>Points toward free food or drinks;Birthday reward;Exclusive member-only offers;</t>
  </si>
  <si>
    <t>Phone number;</t>
  </si>
  <si>
    <t>One small improvement could be faster service during busy times, other than that, the food and the atmosphere was great!</t>
  </si>
  <si>
    <t>More than a month ago</t>
  </si>
  <si>
    <t>Food quality;Service;Drinks/desserts;</t>
  </si>
  <si>
    <t>This was my first visit</t>
  </si>
  <si>
    <t>Exclusive member-only offers;</t>
  </si>
  <si>
    <t xml:space="preserve">My drink, the Marguerite Des Champs, was amazing, but I did need the bartender to pull back a little on the tequila in the drink. It was a little too strong for my taste, but everything else was amazing. </t>
  </si>
  <si>
    <t>Within the past week</t>
  </si>
  <si>
    <t>Service;Drinks/desserts;</t>
  </si>
  <si>
    <t>Once a month</t>
  </si>
  <si>
    <t>Mobile app;Digital card;</t>
  </si>
  <si>
    <t>Add more deals.</t>
  </si>
  <si>
    <t>Points toward free food or drinks;Discounts on future visits;Exclusive member-only offers;Birthday reward;Free upgrade or add-on;Priority reservations or special perks;</t>
  </si>
  <si>
    <t>Mobile app;Digital card;Email account;Phone number;</t>
  </si>
  <si>
    <t>N/A</t>
  </si>
  <si>
    <t>Phone number;Mobile app;Email account;</t>
  </si>
  <si>
    <t xml:space="preserve">More Affordable prices </t>
  </si>
  <si>
    <t>Discounts on future visits;</t>
  </si>
  <si>
    <t>sales</t>
  </si>
  <si>
    <t>Points toward free food or drinks;Exclusive member-only offers;Priority reservations or special perks;</t>
  </si>
  <si>
    <t>Digital card;</t>
  </si>
  <si>
    <t>More Music</t>
  </si>
  <si>
    <t xml:space="preserve"> Time to complete</t>
  </si>
  <si>
    <t xml:space="preserve"># of customers who were Very satisfied </t>
  </si>
  <si>
    <t>Average complition time</t>
  </si>
  <si>
    <t xml:space="preserve">Sum </t>
  </si>
  <si>
    <t>Row Labels</t>
  </si>
  <si>
    <t>Grand Total</t>
  </si>
  <si>
    <t>Zack</t>
  </si>
  <si>
    <t>Chris</t>
  </si>
  <si>
    <t>Madoc</t>
  </si>
  <si>
    <t>Camira</t>
  </si>
  <si>
    <t>Loic</t>
  </si>
  <si>
    <t>Sandra</t>
  </si>
  <si>
    <t>Jayden</t>
  </si>
  <si>
    <t>Wilson</t>
  </si>
  <si>
    <t>Sam</t>
  </si>
  <si>
    <t>Dimitri</t>
  </si>
  <si>
    <t>Age</t>
  </si>
  <si>
    <t>Count of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</si>
</sst>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\ h:mm:ss"/>
    <numFmt numFmtId="167" formatCode="\ mm/dd/yyyy\ hh:mm:ss"/>
    <numFmt numFmtId="168" formatCode="mm:ss\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0" formatCode="General"/>
    </dxf>
    <dxf>
      <numFmt numFmtId="168" formatCode="mm:ss\ "/>
    </dxf>
    <dxf>
      <numFmt numFmtId="167" formatCode="\ mm/dd/yyyy\ hh:mm:ss"/>
    </dxf>
    <dxf>
      <numFmt numFmtId="167" formatCode="\ mm/dd/yyyy\ hh:mm:ss"/>
    </dxf>
    <dxf>
      <numFmt numFmtId="0" formatCode="General"/>
    </dxf>
    <dxf>
      <numFmt numFmtId="168" formatCode="mm:ss\ "/>
    </dxf>
    <dxf>
      <numFmt numFmtId="167" formatCode="\ mm/dd/yyyy\ hh:mm:ss"/>
    </dxf>
    <dxf>
      <numFmt numFmtId="167" formatCode="\ mm/dd/yyyy\ h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 Diplomate Guest Feedback &amp; Rewards Survey(1-10).xlsx]Sheet4!PivotTable3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Sheet4!$B$1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F0A-45D9-B666-B17761584A0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Sheet4!$A$2:$A$8</c:f>
              <c:strCache>
                <c:ptCount val="6"/>
                <c:pt idx="0">
                  <c:v>18</c:v>
                </c:pt>
                <c:pt idx="1">
                  <c:v>21</c:v>
                </c:pt>
                <c:pt idx="2">
                  <c:v>23</c:v>
                </c:pt>
                <c:pt idx="3">
                  <c:v>25</c:v>
                </c:pt>
                <c:pt idx="4">
                  <c:v>28</c:v>
                </c:pt>
                <c:pt idx="5">
                  <c:v>32</c:v>
                </c:pt>
              </c:strCache>
            </c:strRef>
          </c:cat>
          <c:val>
            <c:numRef>
              <c:f>Sheet4!$B$2:$B$8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0A-45D9-B666-B17761584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196850</xdr:colOff>
      <xdr:row>13</xdr:row>
      <xdr:rowOff>38100</xdr:rowOff>
    </xdr:from>
    <xdr:to>
      <xdr:col>20</xdr:col>
      <xdr:colOff>292100</xdr:colOff>
      <xdr:row>35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BFFBD6-4B56-1CB0-F22D-CB27097194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mitri Nji" refreshedDate="46124.862329861113" createdVersion="8" refreshedVersion="8" minRefreshableVersion="3" recordCount="10" xr:uid="{06023FF3-F4EE-4762-9056-C3AFCBC7C04F}">
  <cacheSource type="worksheet">
    <worksheetSource name="Table1"/>
  </cacheSource>
  <cacheFields count="17">
    <cacheField name="ID" numFmtId="0">
      <sharedItems containsSemiMixedTypes="0" containsString="0" containsNumber="1" containsInteger="1" minValue="1" maxValue="10"/>
    </cacheField>
    <cacheField name="Start time" numFmtId="167">
      <sharedItems containsSemiMixedTypes="0" containsNonDate="0" containsDate="1" containsString="0" minDate="2026-04-08T11:20:39" maxDate="2026-04-10T15:35:20"/>
    </cacheField>
    <cacheField name="Completion time" numFmtId="167">
      <sharedItems containsSemiMixedTypes="0" containsNonDate="0" containsDate="1" containsString="0" minDate="2026-04-08T11:21:39" maxDate="2026-04-10T15:35:58"/>
    </cacheField>
    <cacheField name=" Time to complete" numFmtId="168">
      <sharedItems containsSemiMixedTypes="0" containsNonDate="0" containsDate="1" containsString="0" minDate="1899-12-30T00:00:38" maxDate="1899-12-30T00:05:05"/>
    </cacheField>
    <cacheField name="Email" numFmtId="0">
      <sharedItems/>
    </cacheField>
    <cacheField name="Name" numFmtId="0">
      <sharedItems/>
    </cacheField>
    <cacheField name="Age" numFmtId="0">
      <sharedItems containsSemiMixedTypes="0" containsString="0" containsNumber="1" containsInteger="1" minValue="18" maxValue="32" count="6">
        <n v="23"/>
        <n v="28"/>
        <n v="32"/>
        <n v="18"/>
        <n v="21"/>
        <n v="25"/>
      </sharedItems>
    </cacheField>
    <cacheField name="Last modified time" numFmtId="164">
      <sharedItems containsNonDate="0" containsString="0" containsBlank="1"/>
    </cacheField>
    <cacheField name="When recently did you visit Le Diplomate?" numFmtId="0">
      <sharedItems/>
    </cacheField>
    <cacheField name="How would you rate your overall experience at Le Diplomate?" numFmtId="0">
      <sharedItems/>
    </cacheField>
    <cacheField name="Which part of your experience stood out the most during your visit?" numFmtId="0">
      <sharedItems/>
    </cacheField>
    <cacheField name="How satisfied were you with the service you received?" numFmtId="0">
      <sharedItems/>
    </cacheField>
    <cacheField name="How often do you typically visit Le Diplomate?" numFmtId="0">
      <sharedItems/>
    </cacheField>
    <cacheField name="Would you be interested in joining a Le Diplomate rewards program?" numFmtId="0">
      <sharedItems/>
    </cacheField>
    <cacheField name="Which type of reward would most encourage you to return?" numFmtId="0">
      <sharedItems/>
    </cacheField>
    <cacheField name="How would you prefer to track your rewards?" numFmtId="0">
      <sharedItems/>
    </cacheField>
    <cacheField name="What is one thing we could improve to make your next visit better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d v="2026-04-08T11:20:39"/>
    <d v="2026-04-08T11:21:39"/>
    <d v="1899-12-30T00:01:00"/>
    <s v="dnji@my.yearupunited.org"/>
    <s v="Dimitri"/>
    <x v="0"/>
    <m/>
    <s v="Today"/>
    <s v="Exceptional"/>
    <s v="Food quality;Service;Atmosphere;Drinks/desserts;Speed of service;"/>
    <s v="Very satisfied"/>
    <s v="Once a week or more"/>
    <s v="No"/>
    <s v="Exclusive member-only offers;Free upgrade or add-on;Birthday reward;Discounts on future visits;"/>
    <s v="Email account;Mobile app;"/>
    <s v="nothing"/>
  </r>
  <r>
    <n v="2"/>
    <d v="2026-04-08T13:51:31"/>
    <d v="2026-04-08T13:53:25"/>
    <d v="1899-12-30T00:01:54"/>
    <s v="anonymous"/>
    <s v="Zack"/>
    <x v="1"/>
    <m/>
    <s v="Today"/>
    <s v="Very good"/>
    <s v="Atmosphere;"/>
    <s v="Very satisfied"/>
    <s v="A few times a year"/>
    <s v="Maybe"/>
    <s v="Discounts on future visits;Points toward free food or drinks;"/>
    <s v="Phone number;Digital card;"/>
    <s v="No improvements needed! "/>
  </r>
  <r>
    <n v="3"/>
    <d v="2026-04-08T13:56:12"/>
    <d v="2026-04-08T14:01:17"/>
    <d v="1899-12-30T00:05:05"/>
    <s v="anonymous"/>
    <s v="Chris"/>
    <x v="2"/>
    <m/>
    <s v="Today"/>
    <s v="Very good"/>
    <s v="Service;Food quality;Speed of service;"/>
    <s v="Somewhat satisfied"/>
    <s v="A few times a year"/>
    <s v="Yes"/>
    <s v="Points toward free food or drinks;Discounts on future visits;Birthday reward;Exclusive member-only offers;Free upgrade or add-on;Priority reservations or special perks;"/>
    <s v="Mobile app;"/>
    <s v="Free Items!"/>
  </r>
  <r>
    <n v="4"/>
    <d v="2026-04-08T16:13:48"/>
    <d v="2026-04-08T16:16:07"/>
    <d v="1899-12-30T00:02:19"/>
    <s v="anonymous"/>
    <s v="Madoc"/>
    <x v="3"/>
    <m/>
    <s v="Within the past month"/>
    <s v="Excellent"/>
    <s v="Atmosphere;Food quality;"/>
    <s v="Somewhat satisfied"/>
    <s v="A few times a month"/>
    <s v="Yes"/>
    <s v="Points toward free food or drinks;Birthday reward;Exclusive member-only offers;"/>
    <s v="Phone number;"/>
    <s v="One small improvement could be faster service during busy times, other than that, the food and the atmosphere was great!"/>
  </r>
  <r>
    <n v="5"/>
    <d v="2026-04-08T16:22:40"/>
    <d v="2026-04-08T16:26:21"/>
    <d v="1899-12-30T00:03:41"/>
    <s v="anonymous"/>
    <s v="Camira"/>
    <x v="1"/>
    <m/>
    <s v="More than a month ago"/>
    <s v="Excellent"/>
    <s v="Food quality;Service;Drinks/desserts;"/>
    <s v="Somewhat satisfied"/>
    <s v="This was my first visit"/>
    <s v="Yes"/>
    <s v="Exclusive member-only offers;"/>
    <s v="Mobile app;"/>
    <s v="My drink, the Marguerite Des Champs, was amazing, but I did need the bartender to pull back a little on the tequila in the drink. It was a little too strong for my taste, but everything else was amazing. "/>
  </r>
  <r>
    <n v="6"/>
    <d v="2026-04-08T22:29:38"/>
    <d v="2026-04-08T22:33:48"/>
    <d v="1899-12-30T00:04:10"/>
    <s v="anonymous"/>
    <s v="Loic"/>
    <x v="4"/>
    <m/>
    <s v="Within the past week"/>
    <s v="Very good"/>
    <s v="Service;Drinks/desserts;"/>
    <s v="Very satisfied"/>
    <s v="Once a month"/>
    <s v="Yes"/>
    <s v="Discounts on future visits;Points toward free food or drinks;"/>
    <s v="Mobile app;Digital card;"/>
    <s v="Add more deals."/>
  </r>
  <r>
    <n v="7"/>
    <d v="2026-04-10T01:15:12"/>
    <d v="2026-04-10T01:16:07"/>
    <d v="1899-12-30T00:00:55"/>
    <s v="anonymous"/>
    <s v="Sandra"/>
    <x v="5"/>
    <m/>
    <s v="Today"/>
    <s v="Exceptional"/>
    <s v="Food quality;Service;Atmosphere;Drinks/desserts;Speed of service;"/>
    <s v="Very satisfied"/>
    <s v="This was my first visit"/>
    <s v="Yes"/>
    <s v="Points toward free food or drinks;Discounts on future visits;Exclusive member-only offers;Birthday reward;Free upgrade or add-on;Priority reservations or special perks;"/>
    <s v="Mobile app;Digital card;Email account;Phone number;"/>
    <s v="N/A"/>
  </r>
  <r>
    <n v="8"/>
    <d v="2026-04-10T11:30:28"/>
    <d v="2026-04-10T11:31:42"/>
    <d v="1899-12-30T00:01:14"/>
    <s v="anonymous"/>
    <s v="Jayden"/>
    <x v="3"/>
    <m/>
    <s v="Today"/>
    <s v="Exceptional"/>
    <s v="Food quality;Service;Atmosphere;Drinks/desserts;Speed of service;"/>
    <s v="Very satisfied"/>
    <s v="This was my first visit"/>
    <s v="Yes"/>
    <s v="Points toward free food or drinks;Discounts on future visits;Birthday reward;Exclusive member-only offers;Free upgrade or add-on;Priority reservations or special perks;"/>
    <s v="Phone number;Mobile app;Email account;"/>
    <s v="More Affordable prices "/>
  </r>
  <r>
    <n v="9"/>
    <d v="2026-04-10T13:02:02"/>
    <d v="2026-04-10T13:03:23"/>
    <d v="1899-12-30T00:01:21"/>
    <s v="anonymous"/>
    <s v="Wilson"/>
    <x v="0"/>
    <m/>
    <s v="Within the past week"/>
    <s v="Very good"/>
    <s v="Atmosphere;"/>
    <s v="Very satisfied"/>
    <s v="A few times a month"/>
    <s v="Yes"/>
    <s v="Discounts on future visits;"/>
    <s v="Mobile app;"/>
    <s v="sales"/>
  </r>
  <r>
    <n v="10"/>
    <d v="2026-04-10T15:35:20"/>
    <d v="2026-04-10T15:35:58"/>
    <d v="1899-12-30T00:00:38"/>
    <s v="anonymous"/>
    <s v="Sam"/>
    <x v="1"/>
    <m/>
    <s v="Today"/>
    <s v="Exceptional"/>
    <s v="Food quality;Service;Atmosphere;Drinks/desserts;Speed of service;"/>
    <s v="Very satisfied"/>
    <s v="This was my first visit"/>
    <s v="Yes"/>
    <s v="Points toward free food or drinks;Exclusive member-only offers;Priority reservations or special perks;"/>
    <s v="Digital card;"/>
    <s v="More Music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9D0A6D-1F24-46F2-9118-99222AE84859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8" firstHeaderRow="1" firstDataRow="1" firstDataCol="1"/>
  <pivotFields count="17">
    <pivotField showAll="0"/>
    <pivotField numFmtId="167" showAll="0"/>
    <pivotField numFmtId="167" showAll="0"/>
    <pivotField numFmtId="168" showAll="0"/>
    <pivotField showAll="0"/>
    <pivotField dataField="1" showAll="0"/>
    <pivotField axis="axisRow" showAll="0">
      <items count="7">
        <item x="3"/>
        <item x="4"/>
        <item x="0"/>
        <item x="5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Name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12" totalsRowCount="1">
  <autoFilter ref="A1:Q11" xr:uid="{00000000-0009-0000-0100-000001000000}"/>
  <tableColumns count="17">
    <tableColumn id="1" xr3:uid="{00000000-0010-0000-0000-000001000000}" name="ID" dataDxfId="20" totalsRowDxfId="16"/>
    <tableColumn id="2" xr3:uid="{00000000-0010-0000-0000-000002000000}" name="Start time" dataDxfId="19" totalsRowDxfId="15"/>
    <tableColumn id="3" xr3:uid="{00000000-0010-0000-0000-000003000000}" name="Completion time" totalsRowLabel="Average complition time" dataDxfId="18" totalsRowDxfId="14"/>
    <tableColumn id="16" xr3:uid="{869ED029-B838-42CF-BD54-0C295887DFD6}" name=" Time to complete" totalsRowFunction="custom" dataDxfId="17" totalsRowDxfId="13">
      <calculatedColumnFormula>C2-B2</calculatedColumnFormula>
      <totalsRowFormula>AVERAGE(D2:D11)</totalsRowFormula>
    </tableColumn>
    <tableColumn id="4" xr3:uid="{00000000-0010-0000-0000-000004000000}" name="Email" dataDxfId="32" totalsRowDxfId="12"/>
    <tableColumn id="5" xr3:uid="{00000000-0010-0000-0000-000005000000}" name="Name" dataDxfId="31" totalsRowDxfId="11"/>
    <tableColumn id="17" xr3:uid="{C4214C41-4ABD-416C-9C65-173601F6DA1D}" name="Age" totalsRowDxfId="10"/>
    <tableColumn id="6" xr3:uid="{00000000-0010-0000-0000-000006000000}" name="Last modified time" dataDxfId="30" totalsRowDxfId="9"/>
    <tableColumn id="7" xr3:uid="{00000000-0010-0000-0000-000007000000}" name="When recently did you visit Le Diplomate?" dataDxfId="29" totalsRowDxfId="8"/>
    <tableColumn id="8" xr3:uid="{00000000-0010-0000-0000-000008000000}" name="How would you rate your overall experience at Le Diplomate?" dataDxfId="28" totalsRowDxfId="7"/>
    <tableColumn id="9" xr3:uid="{00000000-0010-0000-0000-000009000000}" name="Which part of your experience stood out the most during your visit?" totalsRowLabel="# of customers who were Very satisfied " dataDxfId="27" totalsRowDxfId="6"/>
    <tableColumn id="10" xr3:uid="{00000000-0010-0000-0000-00000A000000}" name="How satisfied were you with the service you received?" totalsRowFunction="custom" dataDxfId="26" totalsRowDxfId="5">
      <totalsRowFormula>COUNTIF(Table1[How satisfied were you with the service you received?],"Very satisfied")</totalsRowFormula>
    </tableColumn>
    <tableColumn id="11" xr3:uid="{00000000-0010-0000-0000-00000B000000}" name="How often do you typically visit Le Diplomate?" dataDxfId="25" totalsRowDxfId="4"/>
    <tableColumn id="12" xr3:uid="{00000000-0010-0000-0000-00000C000000}" name="Would you be interested in joining a Le Diplomate rewards program?" dataDxfId="24" totalsRowDxfId="3"/>
    <tableColumn id="13" xr3:uid="{00000000-0010-0000-0000-00000D000000}" name="Which type of reward would most encourage you to return?" dataDxfId="23" totalsRowDxfId="2"/>
    <tableColumn id="14" xr3:uid="{00000000-0010-0000-0000-00000E000000}" name="How would you prefer to track your rewards?" dataDxfId="22" totalsRowDxfId="1"/>
    <tableColumn id="15" xr3:uid="{00000000-0010-0000-0000-00000F000000}" name="What is one thing we could improve to make your next visit better?" dataDxfId="2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1CCD9-A5A1-4988-B554-479E7FF35E9A}">
  <dimension ref="A1:B8"/>
  <sheetViews>
    <sheetView tabSelected="1" workbookViewId="0">
      <selection activeCell="S11" sqref="S11"/>
    </sheetView>
  </sheetViews>
  <sheetFormatPr defaultRowHeight="14.5" x14ac:dyDescent="0.35"/>
  <cols>
    <col min="1" max="1" width="12.36328125" bestFit="1" customWidth="1"/>
    <col min="2" max="2" width="13.54296875" bestFit="1" customWidth="1"/>
  </cols>
  <sheetData>
    <row r="1" spans="1:2" x14ac:dyDescent="0.35">
      <c r="A1" s="5" t="s">
        <v>70</v>
      </c>
      <c r="B1" t="s">
        <v>83</v>
      </c>
    </row>
    <row r="2" spans="1:2" x14ac:dyDescent="0.35">
      <c r="A2" s="6">
        <v>18</v>
      </c>
      <c r="B2" s="4">
        <v>2</v>
      </c>
    </row>
    <row r="3" spans="1:2" x14ac:dyDescent="0.35">
      <c r="A3" s="6">
        <v>21</v>
      </c>
      <c r="B3" s="4">
        <v>1</v>
      </c>
    </row>
    <row r="4" spans="1:2" x14ac:dyDescent="0.35">
      <c r="A4" s="6">
        <v>23</v>
      </c>
      <c r="B4" s="4">
        <v>2</v>
      </c>
    </row>
    <row r="5" spans="1:2" x14ac:dyDescent="0.35">
      <c r="A5" s="6">
        <v>25</v>
      </c>
      <c r="B5" s="4">
        <v>1</v>
      </c>
    </row>
    <row r="6" spans="1:2" x14ac:dyDescent="0.35">
      <c r="A6" s="6">
        <v>28</v>
      </c>
      <c r="B6" s="4">
        <v>3</v>
      </c>
    </row>
    <row r="7" spans="1:2" x14ac:dyDescent="0.35">
      <c r="A7" s="6">
        <v>32</v>
      </c>
      <c r="B7" s="4">
        <v>1</v>
      </c>
    </row>
    <row r="8" spans="1:2" x14ac:dyDescent="0.35">
      <c r="A8" s="6" t="s">
        <v>71</v>
      </c>
      <c r="B8" s="4">
        <v>10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workbookViewId="0">
      <selection sqref="A1:Q11"/>
    </sheetView>
  </sheetViews>
  <sheetFormatPr defaultRowHeight="14.5" x14ac:dyDescent="0.35"/>
  <cols>
    <col min="1" max="1" width="20" bestFit="1" customWidth="1"/>
    <col min="2" max="2" width="20" style="2" bestFit="1" customWidth="1"/>
    <col min="3" max="3" width="21.453125" bestFit="1" customWidth="1"/>
    <col min="4" max="4" width="20" style="3" customWidth="1"/>
    <col min="5" max="6" width="23.54296875" bestFit="1" customWidth="1"/>
    <col min="7" max="7" width="23.54296875" customWidth="1"/>
    <col min="8" max="10" width="20" bestFit="1" customWidth="1"/>
    <col min="11" max="11" width="60.90625" bestFit="1" customWidth="1"/>
    <col min="12" max="14" width="20" bestFit="1" customWidth="1"/>
    <col min="15" max="15" width="143.26953125" bestFit="1" customWidth="1"/>
    <col min="16" max="16" width="46.453125" bestFit="1" customWidth="1"/>
    <col min="17" max="17" width="168.90625" bestFit="1" customWidth="1"/>
  </cols>
  <sheetData>
    <row r="1" spans="1:17" x14ac:dyDescent="0.35">
      <c r="A1" t="s">
        <v>0</v>
      </c>
      <c r="B1" s="2" t="s">
        <v>1</v>
      </c>
      <c r="C1" t="s">
        <v>2</v>
      </c>
      <c r="D1" s="3" t="s">
        <v>66</v>
      </c>
      <c r="E1" t="s">
        <v>3</v>
      </c>
      <c r="F1" t="s">
        <v>4</v>
      </c>
      <c r="G1" t="s">
        <v>82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7" x14ac:dyDescent="0.35">
      <c r="A2">
        <v>1</v>
      </c>
      <c r="B2" s="2">
        <v>46120.472673611097</v>
      </c>
      <c r="C2" s="2">
        <v>46120.473368055602</v>
      </c>
      <c r="D2" s="3">
        <f t="shared" ref="D2:D11" si="0">C2-B2</f>
        <v>6.9444450491573662E-4</v>
      </c>
      <c r="E2" t="s">
        <v>15</v>
      </c>
      <c r="F2" t="s">
        <v>81</v>
      </c>
      <c r="G2">
        <v>23</v>
      </c>
      <c r="H2" s="1"/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 t="s">
        <v>22</v>
      </c>
      <c r="P2" t="s">
        <v>23</v>
      </c>
      <c r="Q2" t="s">
        <v>24</v>
      </c>
    </row>
    <row r="3" spans="1:17" x14ac:dyDescent="0.35">
      <c r="A3">
        <v>2</v>
      </c>
      <c r="B3" s="2">
        <v>46120.577442129601</v>
      </c>
      <c r="C3" s="2">
        <v>46120.578761574099</v>
      </c>
      <c r="D3" s="3">
        <f t="shared" si="0"/>
        <v>1.3194444982218556E-3</v>
      </c>
      <c r="E3" t="s">
        <v>25</v>
      </c>
      <c r="F3" t="s">
        <v>72</v>
      </c>
      <c r="G3">
        <v>28</v>
      </c>
      <c r="H3" s="1"/>
      <c r="I3" t="s">
        <v>16</v>
      </c>
      <c r="J3" t="s">
        <v>26</v>
      </c>
      <c r="K3" t="s">
        <v>27</v>
      </c>
      <c r="L3" t="s">
        <v>19</v>
      </c>
      <c r="M3" t="s">
        <v>28</v>
      </c>
      <c r="N3" t="s">
        <v>29</v>
      </c>
      <c r="O3" t="s">
        <v>30</v>
      </c>
      <c r="P3" t="s">
        <v>31</v>
      </c>
      <c r="Q3" t="s">
        <v>32</v>
      </c>
    </row>
    <row r="4" spans="1:17" x14ac:dyDescent="0.35">
      <c r="A4">
        <v>3</v>
      </c>
      <c r="B4" s="2">
        <v>46120.580694444398</v>
      </c>
      <c r="C4" s="2">
        <v>46120.584224537</v>
      </c>
      <c r="D4" s="3">
        <f t="shared" si="0"/>
        <v>3.5300926028867252E-3</v>
      </c>
      <c r="E4" t="s">
        <v>25</v>
      </c>
      <c r="F4" t="s">
        <v>73</v>
      </c>
      <c r="G4">
        <v>32</v>
      </c>
      <c r="H4" s="1"/>
      <c r="I4" t="s">
        <v>16</v>
      </c>
      <c r="J4" t="s">
        <v>26</v>
      </c>
      <c r="K4" t="s">
        <v>33</v>
      </c>
      <c r="L4" t="s">
        <v>34</v>
      </c>
      <c r="M4" t="s">
        <v>28</v>
      </c>
      <c r="N4" t="s">
        <v>35</v>
      </c>
      <c r="O4" t="s">
        <v>36</v>
      </c>
      <c r="P4" t="s">
        <v>37</v>
      </c>
      <c r="Q4" t="s">
        <v>38</v>
      </c>
    </row>
    <row r="5" spans="1:17" x14ac:dyDescent="0.35">
      <c r="A5">
        <v>4</v>
      </c>
      <c r="B5" s="2">
        <v>46120.676249999997</v>
      </c>
      <c r="C5" s="2">
        <v>46120.677858796298</v>
      </c>
      <c r="D5" s="3">
        <f t="shared" si="0"/>
        <v>1.6087963012978435E-3</v>
      </c>
      <c r="E5" t="s">
        <v>25</v>
      </c>
      <c r="F5" t="s">
        <v>74</v>
      </c>
      <c r="G5">
        <v>18</v>
      </c>
      <c r="H5" s="1"/>
      <c r="I5" t="s">
        <v>39</v>
      </c>
      <c r="J5" t="s">
        <v>40</v>
      </c>
      <c r="K5" t="s">
        <v>41</v>
      </c>
      <c r="L5" t="s">
        <v>34</v>
      </c>
      <c r="M5" t="s">
        <v>42</v>
      </c>
      <c r="N5" t="s">
        <v>35</v>
      </c>
      <c r="O5" t="s">
        <v>43</v>
      </c>
      <c r="P5" t="s">
        <v>44</v>
      </c>
      <c r="Q5" t="s">
        <v>45</v>
      </c>
    </row>
    <row r="6" spans="1:17" x14ac:dyDescent="0.35">
      <c r="A6">
        <v>5</v>
      </c>
      <c r="B6" s="2">
        <v>46120.682407407403</v>
      </c>
      <c r="C6" s="2">
        <v>46120.684965277796</v>
      </c>
      <c r="D6" s="3">
        <f t="shared" si="0"/>
        <v>2.557870393502526E-3</v>
      </c>
      <c r="E6" t="s">
        <v>25</v>
      </c>
      <c r="F6" t="s">
        <v>75</v>
      </c>
      <c r="G6">
        <v>28</v>
      </c>
      <c r="H6" s="1"/>
      <c r="I6" t="s">
        <v>46</v>
      </c>
      <c r="J6" t="s">
        <v>40</v>
      </c>
      <c r="K6" t="s">
        <v>47</v>
      </c>
      <c r="L6" t="s">
        <v>34</v>
      </c>
      <c r="M6" t="s">
        <v>48</v>
      </c>
      <c r="N6" t="s">
        <v>35</v>
      </c>
      <c r="O6" t="s">
        <v>49</v>
      </c>
      <c r="P6" t="s">
        <v>37</v>
      </c>
      <c r="Q6" t="s">
        <v>50</v>
      </c>
    </row>
    <row r="7" spans="1:17" x14ac:dyDescent="0.35">
      <c r="A7">
        <v>6</v>
      </c>
      <c r="B7" s="2">
        <v>46120.937245370398</v>
      </c>
      <c r="C7" s="2">
        <v>46120.940138888902</v>
      </c>
      <c r="D7" s="3">
        <f t="shared" si="0"/>
        <v>2.8935185036971234E-3</v>
      </c>
      <c r="E7" t="s">
        <v>25</v>
      </c>
      <c r="F7" t="s">
        <v>76</v>
      </c>
      <c r="G7">
        <v>21</v>
      </c>
      <c r="H7" s="1"/>
      <c r="I7" t="s">
        <v>51</v>
      </c>
      <c r="J7" t="s">
        <v>26</v>
      </c>
      <c r="K7" t="s">
        <v>52</v>
      </c>
      <c r="L7" t="s">
        <v>19</v>
      </c>
      <c r="M7" t="s">
        <v>53</v>
      </c>
      <c r="N7" t="s">
        <v>35</v>
      </c>
      <c r="O7" t="s">
        <v>30</v>
      </c>
      <c r="P7" t="s">
        <v>54</v>
      </c>
      <c r="Q7" t="s">
        <v>55</v>
      </c>
    </row>
    <row r="8" spans="1:17" x14ac:dyDescent="0.35">
      <c r="A8">
        <v>7</v>
      </c>
      <c r="B8" s="2">
        <v>46122.052222222199</v>
      </c>
      <c r="C8" s="2">
        <v>46122.052858796298</v>
      </c>
      <c r="D8" s="3">
        <f t="shared" si="0"/>
        <v>6.3657409918960184E-4</v>
      </c>
      <c r="E8" t="s">
        <v>25</v>
      </c>
      <c r="F8" t="s">
        <v>77</v>
      </c>
      <c r="G8">
        <v>25</v>
      </c>
      <c r="H8" s="1"/>
      <c r="I8" t="s">
        <v>16</v>
      </c>
      <c r="J8" t="s">
        <v>17</v>
      </c>
      <c r="K8" t="s">
        <v>18</v>
      </c>
      <c r="L8" t="s">
        <v>19</v>
      </c>
      <c r="M8" t="s">
        <v>48</v>
      </c>
      <c r="N8" t="s">
        <v>35</v>
      </c>
      <c r="O8" t="s">
        <v>56</v>
      </c>
      <c r="P8" t="s">
        <v>57</v>
      </c>
      <c r="Q8" t="s">
        <v>58</v>
      </c>
    </row>
    <row r="9" spans="1:17" x14ac:dyDescent="0.35">
      <c r="A9">
        <v>8</v>
      </c>
      <c r="B9" s="2">
        <v>46122.479490740698</v>
      </c>
      <c r="C9" s="2">
        <v>46122.480347222197</v>
      </c>
      <c r="D9" s="3">
        <f t="shared" si="0"/>
        <v>8.5648149979533628E-4</v>
      </c>
      <c r="E9" t="s">
        <v>25</v>
      </c>
      <c r="F9" t="s">
        <v>78</v>
      </c>
      <c r="G9">
        <v>18</v>
      </c>
      <c r="H9" s="1"/>
      <c r="I9" t="s">
        <v>16</v>
      </c>
      <c r="J9" t="s">
        <v>17</v>
      </c>
      <c r="K9" t="s">
        <v>18</v>
      </c>
      <c r="L9" t="s">
        <v>19</v>
      </c>
      <c r="M9" t="s">
        <v>48</v>
      </c>
      <c r="N9" t="s">
        <v>35</v>
      </c>
      <c r="O9" t="s">
        <v>36</v>
      </c>
      <c r="P9" t="s">
        <v>59</v>
      </c>
      <c r="Q9" t="s">
        <v>60</v>
      </c>
    </row>
    <row r="10" spans="1:17" x14ac:dyDescent="0.35">
      <c r="A10">
        <v>9</v>
      </c>
      <c r="B10" s="2">
        <v>46122.543078703697</v>
      </c>
      <c r="C10" s="2">
        <v>46122.544016203698</v>
      </c>
      <c r="D10" s="3">
        <f t="shared" si="0"/>
        <v>9.3750000087311491E-4</v>
      </c>
      <c r="E10" t="s">
        <v>25</v>
      </c>
      <c r="F10" t="s">
        <v>79</v>
      </c>
      <c r="G10">
        <v>23</v>
      </c>
      <c r="H10" s="1"/>
      <c r="I10" t="s">
        <v>51</v>
      </c>
      <c r="J10" t="s">
        <v>26</v>
      </c>
      <c r="K10" t="s">
        <v>27</v>
      </c>
      <c r="L10" t="s">
        <v>19</v>
      </c>
      <c r="M10" t="s">
        <v>42</v>
      </c>
      <c r="N10" t="s">
        <v>35</v>
      </c>
      <c r="O10" t="s">
        <v>61</v>
      </c>
      <c r="P10" t="s">
        <v>37</v>
      </c>
      <c r="Q10" t="s">
        <v>62</v>
      </c>
    </row>
    <row r="11" spans="1:17" x14ac:dyDescent="0.35">
      <c r="A11">
        <v>10</v>
      </c>
      <c r="B11" s="2">
        <v>46122.649537037003</v>
      </c>
      <c r="C11" s="2">
        <v>46122.649976851797</v>
      </c>
      <c r="D11" s="3">
        <f t="shared" si="0"/>
        <v>4.3981479393551126E-4</v>
      </c>
      <c r="E11" t="s">
        <v>25</v>
      </c>
      <c r="F11" t="s">
        <v>80</v>
      </c>
      <c r="G11">
        <v>28</v>
      </c>
      <c r="H11" s="1"/>
      <c r="I11" t="s">
        <v>16</v>
      </c>
      <c r="J11" t="s">
        <v>17</v>
      </c>
      <c r="K11" t="s">
        <v>18</v>
      </c>
      <c r="L11" t="s">
        <v>19</v>
      </c>
      <c r="M11" t="s">
        <v>48</v>
      </c>
      <c r="N11" t="s">
        <v>35</v>
      </c>
      <c r="O11" t="s">
        <v>63</v>
      </c>
      <c r="P11" t="s">
        <v>64</v>
      </c>
      <c r="Q11" t="s">
        <v>65</v>
      </c>
    </row>
    <row r="12" spans="1:17" x14ac:dyDescent="0.35">
      <c r="A12" s="4"/>
      <c r="C12" s="2" t="s">
        <v>68</v>
      </c>
      <c r="D12" s="3">
        <f>AVERAGE(D2:D11)</f>
        <v>1.5474537198315375E-3</v>
      </c>
      <c r="E12" s="4"/>
      <c r="F12" s="4"/>
      <c r="G12" s="4"/>
      <c r="H12" s="1"/>
      <c r="I12" s="4"/>
      <c r="J12" s="4"/>
      <c r="K12" s="4" t="s">
        <v>67</v>
      </c>
      <c r="L12" s="4">
        <f>COUNTIF(Table1[How satisfied were you with the service you received?],"Very satisfied")</f>
        <v>7</v>
      </c>
      <c r="M12" s="4"/>
      <c r="N12" s="4"/>
      <c r="O12" s="4"/>
      <c r="P12" s="4"/>
      <c r="Q12" s="4"/>
    </row>
    <row r="13" spans="1:17" x14ac:dyDescent="0.35">
      <c r="K13" t="s">
        <v>69</v>
      </c>
      <c r="L13">
        <f>SUM(COUNTIF(L2:L11,"Very satisfied"),(COUNTIF(L2:L11,"Somewhat satisfied")))</f>
        <v>10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dimitri nji</cp:lastModifiedBy>
  <dcterms:created xsi:type="dcterms:W3CDTF">2026-04-10T19:36:28Z</dcterms:created>
  <dcterms:modified xsi:type="dcterms:W3CDTF">2026-04-13T00:48:28Z</dcterms:modified>
</cp:coreProperties>
</file>