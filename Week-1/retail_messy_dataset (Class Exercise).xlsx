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imit\Documents\DataAnalytics\Week-1\"/>
    </mc:Choice>
  </mc:AlternateContent>
  <xr:revisionPtr revIDLastSave="0" documentId="13_ncr:1_{8FF0310C-FA02-4F15-AB80-E15EBE55CCB3}" xr6:coauthVersionLast="47" xr6:coauthVersionMax="47" xr10:uidLastSave="{00000000-0000-0000-0000-000000000000}"/>
  <bookViews>
    <workbookView xWindow="2640" yWindow="1660" windowWidth="20000" windowHeight="18920" xr2:uid="{00000000-000D-0000-FFFF-FFFF00000000}"/>
  </bookViews>
  <sheets>
    <sheet name="Sheet4" sheetId="5" r:id="rId1"/>
    <sheet name="Raw Sales Data" sheetId="1" r:id="rId2"/>
    <sheet name="Final Task" sheetId="4" r:id="rId3"/>
  </sheets>
  <definedNames>
    <definedName name="_xlcn.WorksheetConnection_RawSalesDataA1N971" hidden="1">'Raw Sales Data'!$A$1:$N$97</definedName>
  </definedNames>
  <calcPr calcId="191029"/>
  <pivotCaches>
    <pivotCache cacheId="70" r:id="rId4"/>
    <pivotCache cacheId="78" r:id="rId5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Raw Sales Data!$A$1:$N$9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B97" i="1"/>
  <c r="C2" i="1"/>
  <c r="B2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O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O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3" i="1"/>
  <c r="B3" i="1" s="1"/>
  <c r="C4" i="1"/>
  <c r="B4" i="1" s="1"/>
  <c r="C5" i="1"/>
  <c r="B5" i="1" s="1"/>
  <c r="O5" i="1" s="1"/>
  <c r="C6" i="1"/>
  <c r="B6" i="1" s="1"/>
  <c r="O6" i="1" s="1"/>
  <c r="C7" i="1"/>
  <c r="B7" i="1" s="1"/>
  <c r="O93" i="1" l="1"/>
  <c r="O85" i="1"/>
  <c r="O77" i="1"/>
  <c r="O69" i="1"/>
  <c r="O53" i="1"/>
  <c r="O45" i="1"/>
  <c r="O37" i="1"/>
  <c r="O21" i="1"/>
  <c r="O13" i="1"/>
  <c r="O92" i="1"/>
  <c r="O84" i="1"/>
  <c r="O76" i="1"/>
  <c r="O68" i="1"/>
  <c r="O60" i="1"/>
  <c r="O52" i="1"/>
  <c r="O44" i="1"/>
  <c r="O36" i="1"/>
  <c r="O28" i="1"/>
  <c r="O20" i="1"/>
  <c r="O12" i="1"/>
  <c r="O4" i="1"/>
  <c r="O91" i="1"/>
  <c r="O83" i="1"/>
  <c r="O75" i="1"/>
  <c r="O67" i="1"/>
  <c r="O59" i="1"/>
  <c r="O51" i="1"/>
  <c r="O43" i="1"/>
  <c r="O35" i="1"/>
  <c r="O27" i="1"/>
  <c r="O19" i="1"/>
  <c r="O11" i="1"/>
  <c r="O3" i="1"/>
  <c r="O90" i="1"/>
  <c r="O82" i="1"/>
  <c r="O74" i="1"/>
  <c r="O66" i="1"/>
  <c r="O58" i="1"/>
  <c r="O50" i="1"/>
  <c r="O42" i="1"/>
  <c r="O34" i="1"/>
  <c r="O26" i="1"/>
  <c r="O18" i="1"/>
  <c r="O10" i="1"/>
  <c r="O2" i="1"/>
  <c r="O89" i="1"/>
  <c r="O81" i="1"/>
  <c r="O73" i="1"/>
  <c r="O65" i="1"/>
  <c r="O57" i="1"/>
  <c r="O49" i="1"/>
  <c r="O41" i="1"/>
  <c r="O33" i="1"/>
  <c r="O25" i="1"/>
  <c r="O17" i="1"/>
  <c r="O9" i="1"/>
  <c r="O96" i="1"/>
  <c r="O88" i="1"/>
  <c r="O80" i="1"/>
  <c r="O72" i="1"/>
  <c r="O64" i="1"/>
  <c r="O56" i="1"/>
  <c r="O48" i="1"/>
  <c r="O40" i="1"/>
  <c r="O32" i="1"/>
  <c r="O24" i="1"/>
  <c r="O16" i="1"/>
  <c r="O8" i="1"/>
  <c r="O95" i="1"/>
  <c r="O87" i="1"/>
  <c r="O79" i="1"/>
  <c r="O71" i="1"/>
  <c r="O63" i="1"/>
  <c r="O55" i="1"/>
  <c r="O47" i="1"/>
  <c r="O39" i="1"/>
  <c r="O31" i="1"/>
  <c r="O23" i="1"/>
  <c r="O15" i="1"/>
  <c r="O7" i="1"/>
  <c r="O94" i="1"/>
  <c r="O86" i="1"/>
  <c r="O78" i="1"/>
  <c r="O70" i="1"/>
  <c r="O62" i="1"/>
  <c r="O54" i="1"/>
  <c r="O46" i="1"/>
  <c r="O38" i="1"/>
  <c r="O30" i="1"/>
  <c r="O22" i="1"/>
  <c r="O14" i="1"/>
  <c r="S3" i="1" a="1"/>
  <c r="S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2BFD3F-14DF-40AE-801F-B945801F464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ADE41AC5-3897-4B1A-A2AC-885B0D7F02F1}" name="WorksheetConnection_Raw Sales Data!$A$1:$N$97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RawSalesDataA1N97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<sst xmlns="http://schemas.openxmlformats.org/spreadsheetml/2006/main" count="759" uniqueCount="369">
  <si>
    <t>OrderID</t>
  </si>
  <si>
    <t>CustomerName</t>
  </si>
  <si>
    <t>Region</t>
  </si>
  <si>
    <t>City</t>
  </si>
  <si>
    <t>State</t>
  </si>
  <si>
    <t>Product</t>
  </si>
  <si>
    <t>UnitPrice</t>
  </si>
  <si>
    <t>Quantity</t>
  </si>
  <si>
    <t>TotalSales</t>
  </si>
  <si>
    <t>OrderDate</t>
  </si>
  <si>
    <t>Email</t>
  </si>
  <si>
    <t xml:space="preserve"> patricia TAYLOR</t>
  </si>
  <si>
    <t>south</t>
  </si>
  <si>
    <t>chicago</t>
  </si>
  <si>
    <t>il</t>
  </si>
  <si>
    <t xml:space="preserve"> customer1@company.com </t>
  </si>
  <si>
    <t xml:space="preserve"> robert  wilson</t>
  </si>
  <si>
    <t>san antonio</t>
  </si>
  <si>
    <t>tx</t>
  </si>
  <si>
    <t xml:space="preserve"> customer2@company.com </t>
  </si>
  <si>
    <t>MICHAEL   jackson</t>
  </si>
  <si>
    <t>west</t>
  </si>
  <si>
    <t xml:space="preserve"> customer3@company.com </t>
  </si>
  <si>
    <t>MICHAEL  THOMAS</t>
  </si>
  <si>
    <t>san diego</t>
  </si>
  <si>
    <t>ca</t>
  </si>
  <si>
    <t xml:space="preserve"> customer4@company.com </t>
  </si>
  <si>
    <t xml:space="preserve"> robert  JOHNSON</t>
  </si>
  <si>
    <t>houston</t>
  </si>
  <si>
    <t xml:space="preserve"> customer5@company.com </t>
  </si>
  <si>
    <t>MARY  wilson</t>
  </si>
  <si>
    <t xml:space="preserve"> customer6@company.com </t>
  </si>
  <si>
    <t>MICHAEL  TAYLOR</t>
  </si>
  <si>
    <t>midwest</t>
  </si>
  <si>
    <t>los angeles</t>
  </si>
  <si>
    <t xml:space="preserve"> customer7@company.com </t>
  </si>
  <si>
    <t xml:space="preserve"> robert  DAVIS </t>
  </si>
  <si>
    <t xml:space="preserve"> customer8@company.com </t>
  </si>
  <si>
    <t>ELIZABETH   brown</t>
  </si>
  <si>
    <t xml:space="preserve"> customer9@company.com </t>
  </si>
  <si>
    <t>ELIZABETH  JOHNSON</t>
  </si>
  <si>
    <t>east</t>
  </si>
  <si>
    <t xml:space="preserve"> customer10@company.com </t>
  </si>
  <si>
    <t xml:space="preserve"> customer11@company.com </t>
  </si>
  <si>
    <t>ELIZABETH   moore</t>
  </si>
  <si>
    <t xml:space="preserve"> customer12@company.com </t>
  </si>
  <si>
    <t xml:space="preserve">barbara DAVIS </t>
  </si>
  <si>
    <t xml:space="preserve"> customer13@company.com </t>
  </si>
  <si>
    <t>barbara THOMAS</t>
  </si>
  <si>
    <t>philadelphia</t>
  </si>
  <si>
    <t>pa</t>
  </si>
  <si>
    <t xml:space="preserve"> customer14@company.com </t>
  </si>
  <si>
    <t xml:space="preserve"> patricia JOHNSON</t>
  </si>
  <si>
    <t>new york</t>
  </si>
  <si>
    <t>ny</t>
  </si>
  <si>
    <t xml:space="preserve"> customer15@company.com </t>
  </si>
  <si>
    <t>ELIZABETH  wilson</t>
  </si>
  <si>
    <t>phoenix</t>
  </si>
  <si>
    <t>az</t>
  </si>
  <si>
    <t xml:space="preserve"> customer16@company.com </t>
  </si>
  <si>
    <t xml:space="preserve"> robert  TAYLOR</t>
  </si>
  <si>
    <t xml:space="preserve"> customer17@company.com </t>
  </si>
  <si>
    <t>MICHAEL   moore</t>
  </si>
  <si>
    <t xml:space="preserve"> customer18@company.com </t>
  </si>
  <si>
    <t xml:space="preserve"> patricia  moore</t>
  </si>
  <si>
    <t xml:space="preserve"> customer19@company.com </t>
  </si>
  <si>
    <t xml:space="preserve">LINDA Anderson </t>
  </si>
  <si>
    <t xml:space="preserve"> customer20@company.com </t>
  </si>
  <si>
    <t xml:space="preserve"> william Anderson </t>
  </si>
  <si>
    <t xml:space="preserve"> customer22@company.com </t>
  </si>
  <si>
    <t xml:space="preserve"> customer23@company.com </t>
  </si>
  <si>
    <t xml:space="preserve"> customer24@company.com </t>
  </si>
  <si>
    <t>LINDA  moore</t>
  </si>
  <si>
    <t xml:space="preserve"> customer25@company.com </t>
  </si>
  <si>
    <t xml:space="preserve"> customer26@company.com </t>
  </si>
  <si>
    <t>James   moore</t>
  </si>
  <si>
    <t xml:space="preserve"> customer27@company.com </t>
  </si>
  <si>
    <t xml:space="preserve">MARY  DAVIS </t>
  </si>
  <si>
    <t xml:space="preserve"> customer28@company.com </t>
  </si>
  <si>
    <t xml:space="preserve"> patricia  jackson</t>
  </si>
  <si>
    <t xml:space="preserve"> customer29@company.com </t>
  </si>
  <si>
    <t xml:space="preserve"> customer30@company.com </t>
  </si>
  <si>
    <t xml:space="preserve"> robert  Anderson </t>
  </si>
  <si>
    <t xml:space="preserve"> customer31@company.com </t>
  </si>
  <si>
    <t>barbara TAYLOR</t>
  </si>
  <si>
    <t xml:space="preserve"> customer32@company.com </t>
  </si>
  <si>
    <t xml:space="preserve">LINDA DAVIS </t>
  </si>
  <si>
    <t xml:space="preserve"> customer33@company.com </t>
  </si>
  <si>
    <t>James   jackson</t>
  </si>
  <si>
    <t xml:space="preserve"> customer34@company.com </t>
  </si>
  <si>
    <t xml:space="preserve"> customer35@company.com </t>
  </si>
  <si>
    <t>barbara JOHNSON</t>
  </si>
  <si>
    <t xml:space="preserve"> customer36@company.com </t>
  </si>
  <si>
    <t xml:space="preserve"> william TAYLOR</t>
  </si>
  <si>
    <t xml:space="preserve"> customer37@company.com </t>
  </si>
  <si>
    <t>MARY   moore</t>
  </si>
  <si>
    <t xml:space="preserve"> customer38@company.com </t>
  </si>
  <si>
    <t xml:space="preserve"> john  jackson</t>
  </si>
  <si>
    <t xml:space="preserve"> customer39@company.com </t>
  </si>
  <si>
    <t xml:space="preserve"> customer40@company.com </t>
  </si>
  <si>
    <t>LINDA wilson</t>
  </si>
  <si>
    <t xml:space="preserve"> customer41@company.com </t>
  </si>
  <si>
    <t xml:space="preserve">MICHAEL  Anderson </t>
  </si>
  <si>
    <t xml:space="preserve"> customer42@company.com </t>
  </si>
  <si>
    <t xml:space="preserve">ELIZABETH  DAVIS </t>
  </si>
  <si>
    <t xml:space="preserve"> customer43@company.com </t>
  </si>
  <si>
    <t xml:space="preserve"> customer44@company.com </t>
  </si>
  <si>
    <t>ELIZABETH   jackson</t>
  </si>
  <si>
    <t xml:space="preserve"> customer45@company.com </t>
  </si>
  <si>
    <t>MARY  TAYLOR</t>
  </si>
  <si>
    <t xml:space="preserve"> customer47@company.com </t>
  </si>
  <si>
    <t>ELIZABETH  THOMAS</t>
  </si>
  <si>
    <t xml:space="preserve"> customer48@company.com </t>
  </si>
  <si>
    <t xml:space="preserve">barbara smith </t>
  </si>
  <si>
    <t xml:space="preserve"> customer49@company.com </t>
  </si>
  <si>
    <t xml:space="preserve"> customer50@company.com </t>
  </si>
  <si>
    <t xml:space="preserve"> robert   brown</t>
  </si>
  <si>
    <t xml:space="preserve"> customer51@company.com </t>
  </si>
  <si>
    <t>James  wilson</t>
  </si>
  <si>
    <t xml:space="preserve"> customer52@company.com </t>
  </si>
  <si>
    <t xml:space="preserve"> john wilson</t>
  </si>
  <si>
    <t xml:space="preserve"> customer53@company.com </t>
  </si>
  <si>
    <t xml:space="preserve"> william wilson</t>
  </si>
  <si>
    <t xml:space="preserve"> customer54@company.com </t>
  </si>
  <si>
    <t xml:space="preserve"> patricia wilson</t>
  </si>
  <si>
    <t xml:space="preserve"> customer55@company.com </t>
  </si>
  <si>
    <t>LINDA JOHNSON</t>
  </si>
  <si>
    <t xml:space="preserve"> customer56@company.com </t>
  </si>
  <si>
    <t xml:space="preserve"> customer57@company.com </t>
  </si>
  <si>
    <t>LINDA  brown</t>
  </si>
  <si>
    <t xml:space="preserve"> customer58@company.com </t>
  </si>
  <si>
    <t xml:space="preserve"> customer59@company.com </t>
  </si>
  <si>
    <t xml:space="preserve"> customer61@company.com </t>
  </si>
  <si>
    <t xml:space="preserve"> robert   moore</t>
  </si>
  <si>
    <t xml:space="preserve"> customer62@company.com </t>
  </si>
  <si>
    <t xml:space="preserve">James  smith </t>
  </si>
  <si>
    <t xml:space="preserve"> customer63@company.com </t>
  </si>
  <si>
    <t xml:space="preserve"> john  moore</t>
  </si>
  <si>
    <t xml:space="preserve"> customer64@company.com </t>
  </si>
  <si>
    <t xml:space="preserve"> customer65@company.com </t>
  </si>
  <si>
    <t xml:space="preserve">James  Anderson </t>
  </si>
  <si>
    <t xml:space="preserve"> customer66@company.com </t>
  </si>
  <si>
    <t xml:space="preserve"> customer67@company.com </t>
  </si>
  <si>
    <t xml:space="preserve"> patricia THOMAS</t>
  </si>
  <si>
    <t xml:space="preserve"> customer68@company.com </t>
  </si>
  <si>
    <t>barbara  brown</t>
  </si>
  <si>
    <t xml:space="preserve"> customer69@company.com </t>
  </si>
  <si>
    <t xml:space="preserve">LINDA smith </t>
  </si>
  <si>
    <t xml:space="preserve"> customer70@company.com </t>
  </si>
  <si>
    <t xml:space="preserve"> customer71@company.com </t>
  </si>
  <si>
    <t xml:space="preserve"> john DAVIS </t>
  </si>
  <si>
    <t xml:space="preserve"> customer72@company.com </t>
  </si>
  <si>
    <t xml:space="preserve"> john Anderson </t>
  </si>
  <si>
    <t xml:space="preserve"> customer73@company.com </t>
  </si>
  <si>
    <t xml:space="preserve"> customer74@company.com </t>
  </si>
  <si>
    <t>ELIZABETH  TAYLOR</t>
  </si>
  <si>
    <t xml:space="preserve"> customer75@company.com </t>
  </si>
  <si>
    <t>LINDA TAYLOR</t>
  </si>
  <si>
    <t xml:space="preserve"> customer76@company.com </t>
  </si>
  <si>
    <t xml:space="preserve"> customer77@company.com </t>
  </si>
  <si>
    <t xml:space="preserve"> customer78@company.com </t>
  </si>
  <si>
    <t>barbara wilson</t>
  </si>
  <si>
    <t xml:space="preserve"> customer79@company.com </t>
  </si>
  <si>
    <t xml:space="preserve"> william THOMAS</t>
  </si>
  <si>
    <t xml:space="preserve"> customer80@company.com </t>
  </si>
  <si>
    <t xml:space="preserve"> customer82@company.com </t>
  </si>
  <si>
    <t xml:space="preserve"> customer83@company.com </t>
  </si>
  <si>
    <t xml:space="preserve"> customer84@company.com </t>
  </si>
  <si>
    <t xml:space="preserve"> customer85@company.com </t>
  </si>
  <si>
    <t xml:space="preserve"> customer86@company.com </t>
  </si>
  <si>
    <t xml:space="preserve"> customer87@company.com </t>
  </si>
  <si>
    <t xml:space="preserve"> customer88@company.com </t>
  </si>
  <si>
    <t xml:space="preserve">MARY  smith </t>
  </si>
  <si>
    <t xml:space="preserve"> customer89@company.com </t>
  </si>
  <si>
    <t xml:space="preserve"> john  brown</t>
  </si>
  <si>
    <t xml:space="preserve"> customer90@company.com </t>
  </si>
  <si>
    <t xml:space="preserve">James  DAVIS </t>
  </si>
  <si>
    <t xml:space="preserve"> customer91@company.com </t>
  </si>
  <si>
    <t>LINDA THOMAS</t>
  </si>
  <si>
    <t xml:space="preserve"> customer92@company.com </t>
  </si>
  <si>
    <t xml:space="preserve"> customer93@company.com </t>
  </si>
  <si>
    <t xml:space="preserve"> customer94@company.com </t>
  </si>
  <si>
    <t xml:space="preserve"> customer96@company.com </t>
  </si>
  <si>
    <t>MARY  THOMAS</t>
  </si>
  <si>
    <t xml:space="preserve"> customer97@company.com </t>
  </si>
  <si>
    <t xml:space="preserve"> william  jackson</t>
  </si>
  <si>
    <t xml:space="preserve"> customer98@company.com </t>
  </si>
  <si>
    <t xml:space="preserve"> customer99@company.com </t>
  </si>
  <si>
    <t xml:space="preserve"> customer100@company.com </t>
  </si>
  <si>
    <t>Clean Name</t>
  </si>
  <si>
    <t>S.N.F</t>
  </si>
  <si>
    <t>Location</t>
  </si>
  <si>
    <t xml:space="preserve">Laptop  </t>
  </si>
  <si>
    <t xml:space="preserve">Phone  </t>
  </si>
  <si>
    <t xml:space="preserve">Tablet  </t>
  </si>
  <si>
    <t xml:space="preserve">Monitor  </t>
  </si>
  <si>
    <t xml:space="preserve">Keyboard  </t>
  </si>
  <si>
    <t>Row Labels</t>
  </si>
  <si>
    <t>(blank)</t>
  </si>
  <si>
    <t>Grand Total</t>
  </si>
  <si>
    <t>Sum of TotalSales</t>
  </si>
  <si>
    <t>Keyboard</t>
  </si>
  <si>
    <t>Laptop</t>
  </si>
  <si>
    <t>Monitor</t>
  </si>
  <si>
    <t>Phone</t>
  </si>
  <si>
    <t>Tablet</t>
  </si>
  <si>
    <t>Calculate Total Sales by Product</t>
  </si>
  <si>
    <t>Identify Top Region by Revenue</t>
  </si>
  <si>
    <t>Identify the Top 5 Customers by Sales</t>
  </si>
  <si>
    <t>South</t>
  </si>
  <si>
    <t>James Anderson</t>
  </si>
  <si>
    <t>Barbara Brown</t>
  </si>
  <si>
    <t>Barbara Davis</t>
  </si>
  <si>
    <t>Barbara Johnson</t>
  </si>
  <si>
    <t>Barbara Smith</t>
  </si>
  <si>
    <t>Barbara Taylor</t>
  </si>
  <si>
    <t>Barbara Thomas</t>
  </si>
  <si>
    <t>Barbara Wilson</t>
  </si>
  <si>
    <t>Elizabeth Brown</t>
  </si>
  <si>
    <t>Elizabeth Davis</t>
  </si>
  <si>
    <t>Elizabeth Jackson</t>
  </si>
  <si>
    <t>Elizabeth Johnson</t>
  </si>
  <si>
    <t>Elizabeth Moore</t>
  </si>
  <si>
    <t>Elizabeth Taylor</t>
  </si>
  <si>
    <t>Elizabeth Thomas</t>
  </si>
  <si>
    <t>Elizabeth Wilson</t>
  </si>
  <si>
    <t>James Davis</t>
  </si>
  <si>
    <t>James Jackson</t>
  </si>
  <si>
    <t>James Moore</t>
  </si>
  <si>
    <t>James Smith</t>
  </si>
  <si>
    <t>James Wilson</t>
  </si>
  <si>
    <t>John Anderson</t>
  </si>
  <si>
    <t>John Brown</t>
  </si>
  <si>
    <t>John Davis</t>
  </si>
  <si>
    <t>John Jackson</t>
  </si>
  <si>
    <t>John Moore</t>
  </si>
  <si>
    <t>John Wilson</t>
  </si>
  <si>
    <t>Linda Anderson</t>
  </si>
  <si>
    <t>Linda Brown</t>
  </si>
  <si>
    <t>Linda Davis</t>
  </si>
  <si>
    <t>Linda Johnson</t>
  </si>
  <si>
    <t>Linda Moore</t>
  </si>
  <si>
    <t>Linda Smith</t>
  </si>
  <si>
    <t>Linda Taylor</t>
  </si>
  <si>
    <t>Linda Thomas</t>
  </si>
  <si>
    <t>Linda Wilson</t>
  </si>
  <si>
    <t>Mary Davis</t>
  </si>
  <si>
    <t>Mary Moore</t>
  </si>
  <si>
    <t>Mary Smith</t>
  </si>
  <si>
    <t>Mary Taylor</t>
  </si>
  <si>
    <t>Mary Thomas</t>
  </si>
  <si>
    <t>Mary Wilson</t>
  </si>
  <si>
    <t>Michael Anderson</t>
  </si>
  <si>
    <t>Michael Jackson</t>
  </si>
  <si>
    <t>Michael Moore</t>
  </si>
  <si>
    <t>Michael Taylor</t>
  </si>
  <si>
    <t>Michael Thomas</t>
  </si>
  <si>
    <t>Patricia Jackson</t>
  </si>
  <si>
    <t>Patricia Johnson</t>
  </si>
  <si>
    <t>Patricia Moore</t>
  </si>
  <si>
    <t>Patricia Taylor</t>
  </si>
  <si>
    <t>Patricia Thomas</t>
  </si>
  <si>
    <t>Patricia Wilson</t>
  </si>
  <si>
    <t>Robert Anderson</t>
  </si>
  <si>
    <t>Robert Brown</t>
  </si>
  <si>
    <t>Robert Davis</t>
  </si>
  <si>
    <t>Robert Johnson</t>
  </si>
  <si>
    <t>Robert Moore</t>
  </si>
  <si>
    <t>Robert Taylor</t>
  </si>
  <si>
    <t>Robert Wilson</t>
  </si>
  <si>
    <t>William Anderson</t>
  </si>
  <si>
    <t>William Jackson</t>
  </si>
  <si>
    <t>William Taylor</t>
  </si>
  <si>
    <t>William Thomas</t>
  </si>
  <si>
    <t>William Wilson</t>
  </si>
  <si>
    <t>Customer Name &amp; location</t>
  </si>
  <si>
    <t>Barbara Brown - philadelphia, pa</t>
  </si>
  <si>
    <t>Barbara Davis - chicago, il</t>
  </si>
  <si>
    <t>Barbara Johnson - chicago, il</t>
  </si>
  <si>
    <t>Barbara Smith - san diego, ca</t>
  </si>
  <si>
    <t>Barbara Taylor - san antonio, tx</t>
  </si>
  <si>
    <t>Barbara Thomas - philadelphia, pa</t>
  </si>
  <si>
    <t>Barbara Thomas - phoenix, az</t>
  </si>
  <si>
    <t>Barbara Thomas - san antonio, tx</t>
  </si>
  <si>
    <t>Barbara Thomas - san diego, ca</t>
  </si>
  <si>
    <t>Barbara Wilson - phoenix, az</t>
  </si>
  <si>
    <t>Barbara Wilson - san antonio, tx</t>
  </si>
  <si>
    <t>Elizabeth Brown - chicago, il</t>
  </si>
  <si>
    <t>Elizabeth Davis - chicago, il</t>
  </si>
  <si>
    <t>Elizabeth Jackson - houston, tx</t>
  </si>
  <si>
    <t>Elizabeth Jackson - phoenix, az</t>
  </si>
  <si>
    <t>Elizabeth Jackson - san diego, ca</t>
  </si>
  <si>
    <t>Elizabeth Johnson - los angeles, ca</t>
  </si>
  <si>
    <t>Elizabeth Moore - houston, tx</t>
  </si>
  <si>
    <t>Elizabeth Moore - philadelphia, pa</t>
  </si>
  <si>
    <t>Elizabeth Taylor - new york, ny</t>
  </si>
  <si>
    <t>Elizabeth Thomas - philadelphia, pa</t>
  </si>
  <si>
    <t>Elizabeth Wilson - phoenix, az</t>
  </si>
  <si>
    <t>James Anderson - phoenix, az</t>
  </si>
  <si>
    <t>James Davis - houston, tx</t>
  </si>
  <si>
    <t>James Jackson - los angeles, ca</t>
  </si>
  <si>
    <t>James Moore - san antonio, tx</t>
  </si>
  <si>
    <t>James Moore - san diego, ca</t>
  </si>
  <si>
    <t>James Smith - philadelphia, pa</t>
  </si>
  <si>
    <t>James Wilson - los angeles, ca</t>
  </si>
  <si>
    <t>John Anderson - san antonio, tx</t>
  </si>
  <si>
    <t>John Brown - chicago, il</t>
  </si>
  <si>
    <t>John Davis - los angeles, ca</t>
  </si>
  <si>
    <t>John Davis - san diego, ca</t>
  </si>
  <si>
    <t>John Jackson - phoenix, az</t>
  </si>
  <si>
    <t>John Moore - houston, tx</t>
  </si>
  <si>
    <t>John Moore - new york, ny</t>
  </si>
  <si>
    <t>John Moore - phoenix, az</t>
  </si>
  <si>
    <t>John Wilson - chicago, il</t>
  </si>
  <si>
    <t>John Wilson - philadelphia, pa</t>
  </si>
  <si>
    <t>Linda Anderson - houston, tx</t>
  </si>
  <si>
    <t>Linda Brown - houston, tx</t>
  </si>
  <si>
    <t>Linda Davis - houston, tx</t>
  </si>
  <si>
    <t>Linda Davis - phoenix, az</t>
  </si>
  <si>
    <t>Linda Johnson - philadelphia, pa</t>
  </si>
  <si>
    <t>Linda Moore - houston, tx</t>
  </si>
  <si>
    <t>Linda Moore - los angeles, ca</t>
  </si>
  <si>
    <t>Linda Smith - los angeles, ca</t>
  </si>
  <si>
    <t>Linda Smith - new york, ny</t>
  </si>
  <si>
    <t>Linda Taylor - houston, tx</t>
  </si>
  <si>
    <t>Linda Thomas - philadelphia, pa</t>
  </si>
  <si>
    <t>Linda Wilson - houston, tx</t>
  </si>
  <si>
    <t>Linda Wilson - san diego, ca</t>
  </si>
  <si>
    <t>Mary Davis - los angeles, ca</t>
  </si>
  <si>
    <t>Mary Davis - san diego, ca</t>
  </si>
  <si>
    <t>Mary Moore - phoenix, az</t>
  </si>
  <si>
    <t>Mary Smith - los angeles, ca</t>
  </si>
  <si>
    <t>Mary Taylor - phoenix, az</t>
  </si>
  <si>
    <t>Mary Thomas - new york, ny</t>
  </si>
  <si>
    <t>Mary Wilson - houston, tx</t>
  </si>
  <si>
    <t>Michael Anderson - los angeles, ca</t>
  </si>
  <si>
    <t>Michael Jackson - chicago, il</t>
  </si>
  <si>
    <t>Michael Moore - houston, tx</t>
  </si>
  <si>
    <t>Michael Moore - san antonio, tx</t>
  </si>
  <si>
    <t>Michael Moore - san diego, ca</t>
  </si>
  <si>
    <t>Michael Taylor - los angeles, ca</t>
  </si>
  <si>
    <t>Michael Thomas - houston, tx</t>
  </si>
  <si>
    <t>Michael Thomas - new york, ny</t>
  </si>
  <si>
    <t>Michael Thomas - philadelphia, pa</t>
  </si>
  <si>
    <t>Michael Thomas - san diego, ca</t>
  </si>
  <si>
    <t>Patricia Jackson - phoenix, az</t>
  </si>
  <si>
    <t>Patricia Johnson - chicago, il</t>
  </si>
  <si>
    <t>Patricia Johnson - los angeles, ca</t>
  </si>
  <si>
    <t>Patricia Johnson - new york, ny</t>
  </si>
  <si>
    <t>Patricia Moore - houston, tx</t>
  </si>
  <si>
    <t>Patricia Taylor - chicago, il</t>
  </si>
  <si>
    <t>Patricia Taylor - los angeles, ca</t>
  </si>
  <si>
    <t>Patricia Thomas - san diego, ca</t>
  </si>
  <si>
    <t>Patricia Wilson - chicago, il</t>
  </si>
  <si>
    <t>Patricia Wilson - san antonio, tx</t>
  </si>
  <si>
    <t>Robert Anderson - chicago, il</t>
  </si>
  <si>
    <t>Robert Brown - san diego, ca</t>
  </si>
  <si>
    <t>Robert Davis - chicago, il</t>
  </si>
  <si>
    <t>Robert Johnson - houston, tx</t>
  </si>
  <si>
    <t>Robert Moore - chicago, il</t>
  </si>
  <si>
    <t>Robert Moore - houston, tx</t>
  </si>
  <si>
    <t>Robert Taylor - philadelphia, pa</t>
  </si>
  <si>
    <t>Robert Wilson - houston, tx</t>
  </si>
  <si>
    <t>Robert Wilson - san antonio, tx</t>
  </si>
  <si>
    <t>William Anderson - houston, tx</t>
  </si>
  <si>
    <t>William Jackson - san antonio, tx</t>
  </si>
  <si>
    <t>William Taylor - philadelphia, pa</t>
  </si>
  <si>
    <t>William Thomas - chicago, il</t>
  </si>
  <si>
    <t>William Wilson - san diego,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</si>
</sst>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imitri Nji" refreshedDate="46122.081448726851" backgroundQuery="1" createdVersion="8" refreshedVersion="8" minRefreshableVersion="3" recordCount="0" supportSubquery="1" supportAdvancedDrill="1" xr:uid="{5287716E-D820-415B-8EF0-7A96827AB36B}">
  <cacheSource type="external" connectionId="1"/>
  <cacheFields count="2">
    <cacheField name="[Measures].[Sum of TotalSales]" caption="Sum of TotalSales" numFmtId="0" hierarchy="16" level="32767"/>
    <cacheField name="[Range].[S.N.F].[S.N.F]" caption="S.N.F" numFmtId="0" hierarchy="1" level="1">
      <sharedItems count="65">
        <s v="Barbara Brown"/>
        <s v="Barbara Davis"/>
        <s v="Barbara Johnson"/>
        <s v="Barbara Smith"/>
        <s v="Barbara Taylor"/>
        <s v="Barbara Thomas"/>
        <s v="Barbara Wilson"/>
        <s v="Elizabeth Brown"/>
        <s v="Elizabeth Davis"/>
        <s v="Elizabeth Jackson"/>
        <s v="Elizabeth Johnson"/>
        <s v="Elizabeth Moore"/>
        <s v="Elizabeth Taylor"/>
        <s v="Elizabeth Thomas"/>
        <s v="Elizabeth Wilson"/>
        <s v="James Anderson"/>
        <s v="James Davis"/>
        <s v="James Jackson"/>
        <s v="James Moore"/>
        <s v="James Smith"/>
        <s v="James Wilson"/>
        <s v="John Anderson"/>
        <s v="John Brown"/>
        <s v="John Davis"/>
        <s v="John Jackson"/>
        <s v="John Moore"/>
        <s v="John Wilson"/>
        <s v="Linda Anderson"/>
        <s v="Linda Brown"/>
        <s v="Linda Davis"/>
        <s v="Linda Johnson"/>
        <s v="Linda Moore"/>
        <s v="Linda Smith"/>
        <s v="Linda Taylor"/>
        <s v="Linda Thomas"/>
        <s v="Linda Wilson"/>
        <s v="Mary Davis"/>
        <s v="Mary Moore"/>
        <s v="Mary Smith"/>
        <s v="Mary Taylor"/>
        <s v="Mary Thomas"/>
        <s v="Mary Wilson"/>
        <s v="Michael Anderson"/>
        <s v="Michael Jackson"/>
        <s v="Michael Moore"/>
        <s v="Michael Taylor"/>
        <s v="Michael Thomas"/>
        <s v="Patricia Jackson"/>
        <s v="Patricia Johnson"/>
        <s v="Patricia Moore"/>
        <s v="Patricia Taylor"/>
        <s v="Patricia Thomas"/>
        <s v="Patricia Wilson"/>
        <s v="Robert Anderson"/>
        <s v="Robert Brown"/>
        <s v="Robert Davis"/>
        <s v="Robert Johnson"/>
        <s v="Robert Moore"/>
        <s v="Robert Taylor"/>
        <s v="Robert Wilson"/>
        <s v="William Anderson"/>
        <s v="William Jackson"/>
        <s v="William Taylor"/>
        <s v="William Thomas"/>
        <s v="William Wilson"/>
      </sharedItems>
    </cacheField>
  </cacheFields>
  <cacheHierarchies count="17">
    <cacheHierarchy uniqueName="[Range].[OrderID]" caption="OrderID" attribute="1" defaultMemberUniqueName="[Range].[OrderID].[All]" allUniqueName="[Range].[OrderID].[All]" dimensionUniqueName="[Range]" displayFolder="" count="0" memberValueDatatype="20" unbalanced="0"/>
    <cacheHierarchy uniqueName="[Range].[S.N.F]" caption="S.N.F" attribute="1" defaultMemberUniqueName="[Range].[S.N.F].[All]" allUniqueName="[Range].[S.N.F].[All]" dimensionUniqueName="[Range]" displayFolder="" count="2" memberValueDatatype="130" unbalanced="0">
      <fieldsUsage count="2">
        <fieldUsage x="-1"/>
        <fieldUsage x="1"/>
      </fieldsUsage>
    </cacheHierarchy>
    <cacheHierarchy uniqueName="[Range].[Clean Name]" caption="Clean Name" attribute="1" defaultMemberUniqueName="[Range].[Clean Name].[All]" allUniqueName="[Range].[Clean Name].[All]" dimensionUniqueName="[Range]" displayFolder="" count="2" memberValueDatatype="130" unbalanced="0"/>
    <cacheHierarchy uniqueName="[Range].[CustomerName]" caption="CustomerName" attribute="1" defaultMemberUniqueName="[Range].[CustomerName].[All]" allUniqueName="[Range].[CustomerName].[All]" dimensionUniqueName="[Range]" displayFolder="" count="2" memberValueDatatype="130" unbalanced="0"/>
    <cacheHierarchy uniqueName="[Range].[Region]" caption="Region" attribute="1" defaultMemberUniqueName="[Range].[Region].[All]" allUniqueName="[Range].[Region].[All]" dimensionUniqueName="[Range]" displayFolder="" count="2" memberValueDatatype="130" unbalanced="0"/>
    <cacheHierarchy uniqueName="[Range].[Location]" caption="Location" attribute="1" defaultMemberUniqueName="[Range].[Location].[All]" allUniqueName="[Range].[Location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2" memberValueDatatype="130" unbalanced="0"/>
    <cacheHierarchy uniqueName="[Range].[UnitPrice]" caption="UnitPrice" attribute="1" defaultMemberUniqueName="[Range].[UnitPrice].[All]" allUniqueName="[Range].[UnitPrice].[All]" dimensionUniqueName="[Range]" displayFolder="" count="0" memberValueDatatype="20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TotalSales]" caption="TotalSales" attribute="1" defaultMemberUniqueName="[Range].[TotalSales].[All]" allUniqueName="[Range].[TotalSales].[All]" dimensionUniqueName="[Range]" displayFolder="" count="2" memberValueDatatype="20" unbalanced="0"/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Email]" caption="Email" attribute="1" defaultMemberUniqueName="[Range].[Email].[All]" allUniqueName="[Range].[Email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TotalSales]" caption="Sum of Total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22.089812847225" createdVersion="8" refreshedVersion="8" minRefreshableVersion="3" recordCount="96" xr:uid="{7433FD90-FA5A-4F5C-B1FA-D931C86106CC}">
  <cacheSource type="worksheet">
    <worksheetSource ref="A1:O97" sheet="Raw Sales Data"/>
  </cacheSource>
  <cacheFields count="15">
    <cacheField name="OrderID" numFmtId="0">
      <sharedItems containsString="0" containsBlank="1" containsNumber="1" containsInteger="1" minValue="2001" maxValue="2100"/>
    </cacheField>
    <cacheField name="S.N.F" numFmtId="0">
      <sharedItems/>
    </cacheField>
    <cacheField name="Clean Name" numFmtId="0">
      <sharedItems containsBlank="1"/>
    </cacheField>
    <cacheField name="CustomerName" numFmtId="0">
      <sharedItems containsBlank="1"/>
    </cacheField>
    <cacheField name="Region" numFmtId="0">
      <sharedItems containsBlank="1"/>
    </cacheField>
    <cacheField name="Location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roduct" numFmtId="0">
      <sharedItems containsBlank="1"/>
    </cacheField>
    <cacheField name="UnitPrice" numFmtId="0">
      <sharedItems containsString="0" containsBlank="1" containsNumber="1" containsInteger="1" minValue="89" maxValue="899"/>
    </cacheField>
    <cacheField name="Quantity" numFmtId="0">
      <sharedItems containsString="0" containsBlank="1" containsNumber="1" containsInteger="1" minValue="1" maxValue="5"/>
    </cacheField>
    <cacheField name="TotalSales" numFmtId="0">
      <sharedItems containsString="0" containsBlank="1" containsNumber="1" containsInteger="1" minValue="89" maxValue="4495"/>
    </cacheField>
    <cacheField name="OrderDate" numFmtId="0">
      <sharedItems containsNonDate="0" containsDate="1" containsString="0" containsBlank="1" minDate="1924-02-01T00:00:00" maxDate="1924-02-29T00:00:00"/>
    </cacheField>
    <cacheField name="Email" numFmtId="0">
      <sharedItems containsBlank="1"/>
    </cacheField>
    <cacheField name="Customer Name &amp; location" numFmtId="0">
      <sharedItems containsBlank="1" count="94">
        <s v="Patricia Taylor - chicago, il"/>
        <s v="Robert Wilson - san antonio, tx"/>
        <s v="Michael Jackson - chicago, il"/>
        <s v="Michael Thomas - san diego, ca"/>
        <s v="Robert Johnson - houston, tx"/>
        <s v="Mary Wilson - houston, tx"/>
        <s v="Michael Taylor - los angeles, ca"/>
        <s v="Robert Davis - chicago, il"/>
        <s v="Elizabeth Brown - chicago, il"/>
        <s v="Elizabeth Johnson - los angeles, ca"/>
        <s v="Robert Wilson - houston, tx"/>
        <s v="Elizabeth Moore - houston, tx"/>
        <s v="Barbara Davis - chicago, il"/>
        <s v="Barbara Thomas - philadelphia, pa"/>
        <s v="Patricia Johnson - new york, ny"/>
        <s v="Elizabeth Wilson - phoenix, az"/>
        <s v="Robert Taylor - philadelphia, pa"/>
        <s v="Michael Moore - san diego, ca"/>
        <s v="Patricia Moore - houston, tx"/>
        <s v="Linda Anderson - houston, tx"/>
        <s v="William Anderson - houston, tx"/>
        <s v="Michael Thomas - houston, tx"/>
        <s v="Barbara Thomas - san diego, ca"/>
        <s v="Linda Moore - los angeles, ca"/>
        <s v="Patricia Taylor - los angeles, ca"/>
        <s v="James Moore - san diego, ca"/>
        <s v="Mary Davis - los angeles, ca"/>
        <s v="Patricia Jackson - phoenix, az"/>
        <s v="Michael Thomas - philadelphia, pa"/>
        <s v="Robert Anderson - chicago, il"/>
        <s v="Barbara Taylor - san antonio, tx"/>
        <s v="Linda Davis - phoenix, az"/>
        <s v="James Jackson - los angeles, ca"/>
        <s v="Mary Davis - san diego, ca"/>
        <s v="Barbara Johnson - chicago, il"/>
        <s v="William Taylor - philadelphia, pa"/>
        <s v="Mary Moore - phoenix, az"/>
        <s v="John Jackson - phoenix, az"/>
        <s v="Michael Moore - houston, tx"/>
        <s v="Linda Wilson - houston, tx"/>
        <s v="Michael Anderson - los angeles, ca"/>
        <s v="Elizabeth Davis - chicago, il"/>
        <s v="James Moore - san antonio, tx"/>
        <s v="Elizabeth Jackson - phoenix, az"/>
        <s v="Mary Taylor - phoenix, az"/>
        <s v="Elizabeth Thomas - philadelphia, pa"/>
        <s v="Barbara Smith - san diego, ca"/>
        <s v="Linda Davis - houston, tx"/>
        <s v="Robert Brown - san diego, ca"/>
        <s v="James Wilson - los angeles, ca"/>
        <s v="John Wilson - chicago, il"/>
        <s v="William Wilson - san diego, ca"/>
        <s v="Patricia Wilson - san antonio, tx"/>
        <s v="Linda Johnson - philadelphia, pa"/>
        <s v="John Wilson - philadelphia, pa"/>
        <s v="Linda Brown - houston, tx"/>
        <s v="Barbara Thomas - phoenix, az"/>
        <s v="Robert Moore - houston, tx"/>
        <s v="James Smith - philadelphia, pa"/>
        <s v="John Moore - houston, tx"/>
        <s v="James Anderson - phoenix, az"/>
        <s v="Patricia Johnson - chicago, il"/>
        <s v="Patricia Thomas - san diego, ca"/>
        <s v="Barbara Brown - philadelphia, pa"/>
        <s v="Linda Smith - new york, ny"/>
        <s v="John Moore - new york, ny"/>
        <s v="John Davis - los angeles, ca"/>
        <s v="John Anderson - san antonio, tx"/>
        <s v="Elizabeth Jackson - houston, tx"/>
        <s v="Elizabeth Taylor - new york, ny"/>
        <s v="Linda Taylor - houston, tx"/>
        <s v="John Davis - san diego, ca"/>
        <s v="Elizabeth Jackson - san diego, ca"/>
        <s v="Barbara Wilson - san antonio, tx"/>
        <s v="William Thomas - chicago, il"/>
        <s v="Barbara Thomas - san antonio, tx"/>
        <s v="Michael Moore - san antonio, tx"/>
        <s v="Linda Wilson - san diego, ca"/>
        <s v="Linda Smith - los angeles, ca"/>
        <s v="Elizabeth Moore - philadelphia, pa"/>
        <s v="Barbara Wilson - phoenix, az"/>
        <s v="Linda Moore - houston, tx"/>
        <s v="Mary Smith - los angeles, ca"/>
        <s v="John Brown - chicago, il"/>
        <s v="James Davis - houston, tx"/>
        <s v="Linda Thomas - philadelphia, pa"/>
        <s v="Patricia Wilson - chicago, il"/>
        <s v="Michael Thomas - new york, ny"/>
        <s v="John Moore - phoenix, az"/>
        <s v="Mary Thomas - new york, ny"/>
        <s v="William Jackson - san antonio, tx"/>
        <s v="Robert Moore - chicago, il"/>
        <s v="Patricia Johnson - los angeles, c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n v="2001"/>
    <s v="Patricia Taylor"/>
    <s v="patricia TAYLOR"/>
    <s v=" patricia TAYLOR"/>
    <s v="south"/>
    <s v="chicago, il"/>
    <s v="chicago"/>
    <s v="il"/>
    <s v="Keyboard  "/>
    <n v="89"/>
    <n v="5"/>
    <n v="445"/>
    <d v="1924-02-01T00:00:00"/>
    <s v=" customer1@company.com "/>
    <x v="0"/>
  </r>
  <r>
    <n v="2002"/>
    <s v="Robert Wilson"/>
    <s v="robert wilson"/>
    <s v=" robert  wilson"/>
    <s v="south"/>
    <s v="san antonio, tx"/>
    <s v="san antonio"/>
    <s v="tx"/>
    <s v="Laptop  "/>
    <n v="899"/>
    <n v="3"/>
    <n v="2697"/>
    <d v="1924-02-02T00:00:00"/>
    <s v=" customer2@company.com "/>
    <x v="1"/>
  </r>
  <r>
    <n v="2003"/>
    <s v="Michael Jackson"/>
    <s v="MICHAEL jackson"/>
    <s v="MICHAEL   jackson"/>
    <s v="west"/>
    <s v="chicago, il"/>
    <s v="chicago"/>
    <s v="il"/>
    <s v="Phone  "/>
    <n v="699"/>
    <n v="2"/>
    <n v="1398"/>
    <d v="1924-02-03T00:00:00"/>
    <s v=" customer3@company.com "/>
    <x v="2"/>
  </r>
  <r>
    <n v="2004"/>
    <s v="Michael Thomas"/>
    <s v="MICHAEL THOMAS"/>
    <s v="MICHAEL  THOMAS"/>
    <s v="west"/>
    <s v="san diego, ca"/>
    <s v="san diego"/>
    <s v="ca"/>
    <s v="Laptop  "/>
    <n v="899"/>
    <n v="5"/>
    <n v="4495"/>
    <d v="1924-02-04T00:00:00"/>
    <s v=" customer4@company.com "/>
    <x v="3"/>
  </r>
  <r>
    <n v="2005"/>
    <s v="Robert Johnson"/>
    <s v="robert JOHNSON"/>
    <s v=" robert  JOHNSON"/>
    <s v="west"/>
    <s v="houston, tx"/>
    <s v="houston"/>
    <s v="tx"/>
    <s v="Keyboard  "/>
    <n v="89"/>
    <n v="5"/>
    <n v="445"/>
    <d v="1924-02-05T00:00:00"/>
    <s v=" customer5@company.com "/>
    <x v="4"/>
  </r>
  <r>
    <n v="2006"/>
    <s v="Mary Wilson"/>
    <s v="MARY wilson"/>
    <s v="MARY  wilson"/>
    <s v="west"/>
    <s v="houston, tx"/>
    <s v="houston"/>
    <s v="tx"/>
    <s v="Tablet  "/>
    <n v="499"/>
    <n v="5"/>
    <n v="2495"/>
    <d v="1924-02-06T00:00:00"/>
    <s v=" customer6@company.com "/>
    <x v="5"/>
  </r>
  <r>
    <n v="2007"/>
    <s v="Michael Taylor"/>
    <s v="MICHAEL TAYLOR"/>
    <s v="MICHAEL  TAYLOR"/>
    <s v="midwest"/>
    <s v="los angeles, ca"/>
    <s v="los angeles"/>
    <s v="ca"/>
    <s v="Tablet  "/>
    <n v="499"/>
    <n v="3"/>
    <n v="1497"/>
    <d v="1924-02-07T00:00:00"/>
    <s v=" customer7@company.com "/>
    <x v="6"/>
  </r>
  <r>
    <n v="2008"/>
    <s v="Robert Davis"/>
    <s v="robert DAVIS"/>
    <s v=" robert  DAVIS "/>
    <s v="west"/>
    <s v="chicago, il"/>
    <s v="chicago"/>
    <s v="il"/>
    <s v="Monitor  "/>
    <n v="299"/>
    <n v="3"/>
    <n v="897"/>
    <d v="1924-02-08T00:00:00"/>
    <s v=" customer8@company.com "/>
    <x v="7"/>
  </r>
  <r>
    <n v="2009"/>
    <s v="Elizabeth Brown"/>
    <s v="ELIZABETH brown"/>
    <s v="ELIZABETH   brown"/>
    <s v="south"/>
    <s v="chicago, il"/>
    <s v="chicago"/>
    <s v="il"/>
    <s v="Phone  "/>
    <n v="699"/>
    <n v="4"/>
    <n v="2796"/>
    <d v="1924-02-09T00:00:00"/>
    <s v=" customer9@company.com "/>
    <x v="8"/>
  </r>
  <r>
    <n v="2010"/>
    <s v="Elizabeth Johnson"/>
    <s v="ELIZABETH JOHNSON"/>
    <s v="ELIZABETH  JOHNSON"/>
    <s v="east"/>
    <s v="los angeles, ca"/>
    <s v="los angeles"/>
    <s v="ca"/>
    <s v="Laptop  "/>
    <n v="899"/>
    <n v="5"/>
    <n v="4495"/>
    <d v="1924-02-10T00:00:00"/>
    <s v=" customer10@company.com "/>
    <x v="9"/>
  </r>
  <r>
    <n v="2011"/>
    <s v="Robert Wilson"/>
    <s v="robert wilson"/>
    <s v=" robert  wilson"/>
    <s v="east"/>
    <s v="houston, tx"/>
    <s v="houston"/>
    <s v="tx"/>
    <s v="Laptop  "/>
    <n v="899"/>
    <n v="5"/>
    <n v="4495"/>
    <d v="1924-02-11T00:00:00"/>
    <s v=" customer11@company.com "/>
    <x v="10"/>
  </r>
  <r>
    <n v="2012"/>
    <s v="Elizabeth Moore"/>
    <s v="ELIZABETH moore"/>
    <s v="ELIZABETH   moore"/>
    <s v="midwest"/>
    <s v="houston, tx"/>
    <s v="houston"/>
    <s v="tx"/>
    <s v="Laptop  "/>
    <n v="899"/>
    <n v="3"/>
    <n v="2697"/>
    <d v="1924-02-12T00:00:00"/>
    <s v=" customer12@company.com "/>
    <x v="11"/>
  </r>
  <r>
    <n v="2013"/>
    <s v="Barbara Davis"/>
    <s v="barbara DAVIS"/>
    <s v="barbara DAVIS "/>
    <s v="south"/>
    <s v="chicago, il"/>
    <s v="chicago"/>
    <s v="il"/>
    <s v="Tablet  "/>
    <n v="499"/>
    <n v="4"/>
    <n v="1996"/>
    <d v="1924-02-13T00:00:00"/>
    <s v=" customer13@company.com "/>
    <x v="12"/>
  </r>
  <r>
    <n v="2014"/>
    <s v="Barbara Thomas"/>
    <s v="barbara THOMAS"/>
    <s v="barbara THOMAS"/>
    <s v="midwest"/>
    <s v="philadelphia, pa"/>
    <s v="philadelphia"/>
    <s v="pa"/>
    <s v="Tablet  "/>
    <n v="499"/>
    <n v="3"/>
    <n v="1497"/>
    <d v="1924-02-14T00:00:00"/>
    <s v=" customer14@company.com "/>
    <x v="13"/>
  </r>
  <r>
    <n v="2015"/>
    <s v="Patricia Johnson"/>
    <s v="patricia JOHNSON"/>
    <s v=" patricia JOHNSON"/>
    <s v="east"/>
    <s v="new york, ny"/>
    <s v="new york"/>
    <s v="ny"/>
    <s v="Monitor  "/>
    <n v="299"/>
    <n v="4"/>
    <n v="1196"/>
    <d v="1924-02-15T00:00:00"/>
    <s v=" customer15@company.com "/>
    <x v="14"/>
  </r>
  <r>
    <n v="2016"/>
    <s v="Elizabeth Wilson"/>
    <s v="ELIZABETH wilson"/>
    <s v="ELIZABETH  wilson"/>
    <s v="west"/>
    <s v="phoenix, az"/>
    <s v="phoenix"/>
    <s v="az"/>
    <s v="Tablet  "/>
    <n v="499"/>
    <n v="4"/>
    <n v="1996"/>
    <d v="1924-02-16T00:00:00"/>
    <s v=" customer16@company.com "/>
    <x v="15"/>
  </r>
  <r>
    <n v="2017"/>
    <s v="Robert Taylor"/>
    <s v="robert TAYLOR"/>
    <s v=" robert  TAYLOR"/>
    <s v="south"/>
    <s v="philadelphia, pa"/>
    <s v="philadelphia"/>
    <s v="pa"/>
    <s v="Tablet  "/>
    <n v="499"/>
    <n v="4"/>
    <n v="1996"/>
    <d v="1924-02-17T00:00:00"/>
    <s v=" customer17@company.com "/>
    <x v="16"/>
  </r>
  <r>
    <n v="2018"/>
    <s v="Michael Moore"/>
    <s v="MICHAEL moore"/>
    <s v="MICHAEL   moore"/>
    <s v="south"/>
    <s v="san diego, ca"/>
    <s v="san diego"/>
    <s v="ca"/>
    <s v="Keyboard  "/>
    <n v="89"/>
    <n v="4"/>
    <n v="356"/>
    <d v="1924-02-18T00:00:00"/>
    <s v=" customer18@company.com "/>
    <x v="17"/>
  </r>
  <r>
    <n v="2019"/>
    <s v="Patricia Moore"/>
    <s v="patricia moore"/>
    <s v=" patricia  moore"/>
    <s v="south"/>
    <s v="houston, tx"/>
    <s v="houston"/>
    <s v="tx"/>
    <s v="Monitor  "/>
    <n v="299"/>
    <n v="4"/>
    <n v="1196"/>
    <d v="1924-02-19T00:00:00"/>
    <s v=" customer19@company.com "/>
    <x v="18"/>
  </r>
  <r>
    <n v="2020"/>
    <s v="Linda Anderson"/>
    <s v="LINDA Anderson"/>
    <s v="LINDA Anderson "/>
    <s v="midwest"/>
    <s v="houston, tx"/>
    <s v="houston"/>
    <s v="tx"/>
    <s v="Phone  "/>
    <n v="699"/>
    <n v="2"/>
    <n v="1398"/>
    <d v="1924-02-20T00:00:00"/>
    <s v=" customer20@company.com "/>
    <x v="19"/>
  </r>
  <r>
    <n v="2022"/>
    <s v="William Anderson"/>
    <s v="william Anderson"/>
    <s v=" william Anderson "/>
    <s v="east"/>
    <s v="houston, tx"/>
    <s v="houston"/>
    <s v="tx"/>
    <s v="Keyboard  "/>
    <n v="89"/>
    <n v="5"/>
    <n v="445"/>
    <d v="1924-02-22T00:00:00"/>
    <s v=" customer22@company.com "/>
    <x v="20"/>
  </r>
  <r>
    <n v="2023"/>
    <s v="Michael Thomas"/>
    <s v="MICHAEL THOMAS"/>
    <s v="MICHAEL  THOMAS"/>
    <s v="south"/>
    <s v="houston, tx"/>
    <s v="houston"/>
    <s v="tx"/>
    <s v="Phone  "/>
    <n v="699"/>
    <n v="2"/>
    <n v="1398"/>
    <d v="1924-02-23T00:00:00"/>
    <s v=" customer23@company.com "/>
    <x v="21"/>
  </r>
  <r>
    <n v="2024"/>
    <s v="Barbara Thomas"/>
    <s v="barbara THOMAS"/>
    <s v="barbara THOMAS"/>
    <s v="midwest"/>
    <s v="san diego, ca"/>
    <s v="san diego"/>
    <s v="ca"/>
    <s v="Laptop  "/>
    <n v="899"/>
    <n v="4"/>
    <n v="3596"/>
    <d v="1924-02-24T00:00:00"/>
    <s v=" customer24@company.com "/>
    <x v="22"/>
  </r>
  <r>
    <n v="2025"/>
    <s v="Linda Moore"/>
    <s v="LINDA moore"/>
    <s v="LINDA  moore"/>
    <s v="east"/>
    <s v="los angeles, ca"/>
    <s v="los angeles"/>
    <s v="ca"/>
    <s v="Monitor  "/>
    <n v="299"/>
    <n v="3"/>
    <n v="897"/>
    <d v="1924-02-25T00:00:00"/>
    <s v=" customer25@company.com "/>
    <x v="23"/>
  </r>
  <r>
    <n v="2026"/>
    <s v="Patricia Taylor"/>
    <s v="patricia TAYLOR"/>
    <s v=" patricia TAYLOR"/>
    <s v="east"/>
    <s v="los angeles, ca"/>
    <s v="los angeles"/>
    <s v="ca"/>
    <s v="Keyboard  "/>
    <n v="89"/>
    <n v="3"/>
    <n v="267"/>
    <d v="1924-02-26T00:00:00"/>
    <s v=" customer26@company.com "/>
    <x v="24"/>
  </r>
  <r>
    <n v="2027"/>
    <s v="James Moore"/>
    <s v="James moore"/>
    <s v="James   moore"/>
    <s v="south"/>
    <s v="san diego, ca"/>
    <s v="san diego"/>
    <s v="ca"/>
    <s v="Laptop  "/>
    <n v="899"/>
    <n v="5"/>
    <n v="4495"/>
    <d v="1924-02-27T00:00:00"/>
    <s v=" customer27@company.com "/>
    <x v="25"/>
  </r>
  <r>
    <n v="2028"/>
    <s v="Mary Davis"/>
    <s v="MARY DAVIS"/>
    <s v="MARY  DAVIS "/>
    <s v="south"/>
    <s v="los angeles, ca"/>
    <s v="los angeles"/>
    <s v="ca"/>
    <s v="Tablet  "/>
    <n v="499"/>
    <n v="2"/>
    <n v="998"/>
    <d v="1924-02-28T00:00:00"/>
    <s v=" customer28@company.com "/>
    <x v="26"/>
  </r>
  <r>
    <n v="2029"/>
    <s v="Patricia Jackson"/>
    <s v="patricia jackson"/>
    <s v=" patricia  jackson"/>
    <s v="midwest"/>
    <s v="phoenix, az"/>
    <s v="phoenix"/>
    <s v="az"/>
    <s v="Phone  "/>
    <n v="699"/>
    <n v="1"/>
    <n v="699"/>
    <d v="1924-02-01T00:00:00"/>
    <s v=" customer29@company.com "/>
    <x v="27"/>
  </r>
  <r>
    <n v="2030"/>
    <s v="Michael Thomas"/>
    <s v="MICHAEL THOMAS"/>
    <s v="MICHAEL  THOMAS"/>
    <s v="south"/>
    <s v="philadelphia, pa"/>
    <s v="philadelphia"/>
    <s v="pa"/>
    <s v="Laptop  "/>
    <n v="899"/>
    <n v="2"/>
    <n v="1798"/>
    <d v="1924-02-02T00:00:00"/>
    <s v=" customer30@company.com "/>
    <x v="28"/>
  </r>
  <r>
    <n v="2031"/>
    <s v="Robert Anderson"/>
    <s v="robert Anderson"/>
    <s v=" robert  Anderson "/>
    <s v="east"/>
    <s v="chicago, il"/>
    <s v="chicago"/>
    <s v="il"/>
    <s v="Laptop  "/>
    <n v="899"/>
    <n v="5"/>
    <n v="4495"/>
    <d v="1924-02-03T00:00:00"/>
    <s v=" customer31@company.com "/>
    <x v="29"/>
  </r>
  <r>
    <n v="2032"/>
    <s v="Barbara Taylor"/>
    <s v="barbara TAYLOR"/>
    <s v="barbara TAYLOR"/>
    <s v="east"/>
    <s v="san antonio, tx"/>
    <s v="san antonio"/>
    <s v="tx"/>
    <s v="Monitor  "/>
    <n v="299"/>
    <n v="3"/>
    <n v="897"/>
    <d v="1924-02-04T00:00:00"/>
    <s v=" customer32@company.com "/>
    <x v="30"/>
  </r>
  <r>
    <n v="2033"/>
    <s v="Linda Davis"/>
    <s v="LINDA DAVIS"/>
    <s v="LINDA DAVIS "/>
    <s v="west"/>
    <s v="phoenix, az"/>
    <s v="phoenix"/>
    <s v="az"/>
    <s v="Laptop  "/>
    <n v="899"/>
    <n v="5"/>
    <n v="4495"/>
    <d v="1924-02-05T00:00:00"/>
    <s v=" customer33@company.com "/>
    <x v="31"/>
  </r>
  <r>
    <n v="2034"/>
    <s v="James Jackson"/>
    <s v="James jackson"/>
    <s v="James   jackson"/>
    <s v="east"/>
    <s v="los angeles, ca"/>
    <s v="los angeles"/>
    <s v="ca"/>
    <s v="Phone  "/>
    <n v="699"/>
    <n v="1"/>
    <n v="699"/>
    <d v="1924-02-06T00:00:00"/>
    <s v=" customer34@company.com "/>
    <x v="32"/>
  </r>
  <r>
    <n v="2035"/>
    <s v="Mary Davis"/>
    <s v="MARY DAVIS"/>
    <s v="MARY  DAVIS "/>
    <s v="east"/>
    <s v="san diego, ca"/>
    <s v="san diego"/>
    <s v="ca"/>
    <s v="Keyboard  "/>
    <n v="89"/>
    <n v="2"/>
    <n v="178"/>
    <d v="1924-02-07T00:00:00"/>
    <s v=" customer35@company.com "/>
    <x v="33"/>
  </r>
  <r>
    <n v="2036"/>
    <s v="Barbara Johnson"/>
    <s v="barbara JOHNSON"/>
    <s v="barbara JOHNSON"/>
    <s v="south"/>
    <s v="chicago, il"/>
    <s v="chicago"/>
    <s v="il"/>
    <s v="Phone  "/>
    <n v="699"/>
    <n v="5"/>
    <n v="3495"/>
    <d v="1924-02-08T00:00:00"/>
    <s v=" customer36@company.com "/>
    <x v="34"/>
  </r>
  <r>
    <n v="2037"/>
    <s v="William Taylor"/>
    <s v="william TAYLOR"/>
    <s v=" william TAYLOR"/>
    <s v="east"/>
    <s v="philadelphia, pa"/>
    <s v="philadelphia"/>
    <s v="pa"/>
    <s v="Keyboard  "/>
    <n v="89"/>
    <n v="3"/>
    <n v="267"/>
    <d v="1924-02-09T00:00:00"/>
    <s v=" customer37@company.com "/>
    <x v="35"/>
  </r>
  <r>
    <n v="2038"/>
    <s v="Mary Moore"/>
    <s v="MARY moore"/>
    <s v="MARY   moore"/>
    <s v="east"/>
    <s v="phoenix, az"/>
    <s v="phoenix"/>
    <s v="az"/>
    <s v="Phone  "/>
    <n v="699"/>
    <n v="3"/>
    <n v="2097"/>
    <d v="1924-02-10T00:00:00"/>
    <s v=" customer38@company.com "/>
    <x v="36"/>
  </r>
  <r>
    <n v="2039"/>
    <s v="John Jackson"/>
    <s v="john jackson"/>
    <s v=" john  jackson"/>
    <s v="south"/>
    <s v="phoenix, az"/>
    <s v="phoenix"/>
    <s v="az"/>
    <s v="Laptop  "/>
    <n v="899"/>
    <n v="1"/>
    <n v="899"/>
    <d v="1924-02-11T00:00:00"/>
    <s v=" customer39@company.com "/>
    <x v="37"/>
  </r>
  <r>
    <n v="2040"/>
    <s v="Michael Moore"/>
    <s v="MICHAEL moore"/>
    <s v="MICHAEL   moore"/>
    <s v="east"/>
    <s v="houston, tx"/>
    <s v="houston"/>
    <s v="tx"/>
    <s v="Keyboard  "/>
    <n v="89"/>
    <n v="3"/>
    <n v="267"/>
    <d v="1924-02-12T00:00:00"/>
    <s v=" customer40@company.com "/>
    <x v="38"/>
  </r>
  <r>
    <n v="2041"/>
    <s v="Linda Wilson"/>
    <s v="LINDA wilson"/>
    <s v="LINDA wilson"/>
    <s v="west"/>
    <s v="houston, tx"/>
    <s v="houston"/>
    <s v="tx"/>
    <s v="Keyboard  "/>
    <n v="89"/>
    <n v="2"/>
    <n v="178"/>
    <d v="1924-02-13T00:00:00"/>
    <s v=" customer41@company.com "/>
    <x v="39"/>
  </r>
  <r>
    <n v="2042"/>
    <s v="Michael Anderson"/>
    <s v="MICHAEL Anderson"/>
    <s v="MICHAEL  Anderson "/>
    <s v="south"/>
    <s v="los angeles, ca"/>
    <s v="los angeles"/>
    <s v="ca"/>
    <s v="Keyboard  "/>
    <n v="89"/>
    <n v="1"/>
    <n v="89"/>
    <d v="1924-02-14T00:00:00"/>
    <s v=" customer42@company.com "/>
    <x v="40"/>
  </r>
  <r>
    <n v="2043"/>
    <s v="Elizabeth Davis"/>
    <s v="ELIZABETH DAVIS"/>
    <s v="ELIZABETH  DAVIS "/>
    <s v="east"/>
    <s v="chicago, il"/>
    <s v="chicago"/>
    <s v="il"/>
    <s v="Laptop  "/>
    <n v="899"/>
    <n v="5"/>
    <n v="4495"/>
    <d v="1924-02-15T00:00:00"/>
    <s v=" customer43@company.com "/>
    <x v="41"/>
  </r>
  <r>
    <n v="2044"/>
    <s v="James Moore"/>
    <s v="James moore"/>
    <s v="James   moore"/>
    <s v="south"/>
    <s v="san antonio, tx"/>
    <s v="san antonio"/>
    <s v="tx"/>
    <s v="Tablet  "/>
    <n v="499"/>
    <n v="4"/>
    <n v="1996"/>
    <d v="1924-02-16T00:00:00"/>
    <s v=" customer44@company.com "/>
    <x v="42"/>
  </r>
  <r>
    <n v="2045"/>
    <s v="Elizabeth Jackson"/>
    <s v="ELIZABETH jackson"/>
    <s v="ELIZABETH   jackson"/>
    <s v="west"/>
    <s v="phoenix, az"/>
    <s v="phoenix"/>
    <s v="az"/>
    <s v="Keyboard  "/>
    <n v="89"/>
    <n v="3"/>
    <n v="267"/>
    <d v="1924-02-17T00:00:00"/>
    <s v=" customer45@company.com "/>
    <x v="43"/>
  </r>
  <r>
    <n v="2047"/>
    <s v="Mary Taylor"/>
    <s v="MARY TAYLOR"/>
    <s v="MARY  TAYLOR"/>
    <s v="east"/>
    <s v="phoenix, az"/>
    <s v="phoenix"/>
    <s v="az"/>
    <s v="Tablet  "/>
    <n v="499"/>
    <n v="4"/>
    <n v="1996"/>
    <d v="1924-02-19T00:00:00"/>
    <s v=" customer47@company.com "/>
    <x v="44"/>
  </r>
  <r>
    <n v="2048"/>
    <s v="Elizabeth Thomas"/>
    <s v="ELIZABETH THOMAS"/>
    <s v="ELIZABETH  THOMAS"/>
    <s v="midwest"/>
    <s v="philadelphia, pa"/>
    <s v="philadelphia"/>
    <s v="pa"/>
    <s v="Keyboard  "/>
    <n v="89"/>
    <n v="1"/>
    <n v="89"/>
    <d v="1924-02-20T00:00:00"/>
    <s v=" customer48@company.com "/>
    <x v="45"/>
  </r>
  <r>
    <n v="2049"/>
    <s v="Barbara Smith"/>
    <s v="barbara smith"/>
    <s v="barbara smith "/>
    <s v="east"/>
    <s v="san diego, ca"/>
    <s v="san diego"/>
    <s v="ca"/>
    <s v="Monitor  "/>
    <n v="299"/>
    <n v="4"/>
    <n v="1196"/>
    <d v="1924-02-21T00:00:00"/>
    <s v=" customer49@company.com "/>
    <x v="46"/>
  </r>
  <r>
    <n v="2050"/>
    <s v="Linda Davis"/>
    <s v="LINDA DAVIS"/>
    <s v="LINDA DAVIS "/>
    <s v="midwest"/>
    <s v="houston, tx"/>
    <s v="houston"/>
    <s v="tx"/>
    <s v="Keyboard  "/>
    <n v="89"/>
    <n v="4"/>
    <n v="356"/>
    <d v="1924-02-22T00:00:00"/>
    <s v=" customer50@company.com "/>
    <x v="47"/>
  </r>
  <r>
    <n v="2051"/>
    <s v="Robert Brown"/>
    <s v="robert brown"/>
    <s v=" robert   brown"/>
    <s v="east"/>
    <s v="san diego, ca"/>
    <s v="san diego"/>
    <s v="ca"/>
    <s v="Monitor  "/>
    <n v="299"/>
    <n v="2"/>
    <n v="598"/>
    <d v="1924-02-23T00:00:00"/>
    <s v=" customer51@company.com "/>
    <x v="48"/>
  </r>
  <r>
    <n v="2052"/>
    <s v="James Wilson"/>
    <s v="James wilson"/>
    <s v="James  wilson"/>
    <s v="south"/>
    <s v="los angeles, ca"/>
    <s v="los angeles"/>
    <s v="ca"/>
    <s v="Keyboard  "/>
    <n v="89"/>
    <n v="5"/>
    <n v="445"/>
    <d v="1924-02-24T00:00:00"/>
    <s v=" customer52@company.com "/>
    <x v="49"/>
  </r>
  <r>
    <n v="2053"/>
    <s v="John Wilson"/>
    <s v="john wilson"/>
    <s v=" john wilson"/>
    <s v="east"/>
    <s v="chicago, il"/>
    <s v="chicago"/>
    <s v="il"/>
    <s v="Phone  "/>
    <n v="699"/>
    <n v="2"/>
    <n v="1398"/>
    <d v="1924-02-25T00:00:00"/>
    <s v=" customer53@company.com "/>
    <x v="50"/>
  </r>
  <r>
    <n v="2054"/>
    <s v="William Wilson"/>
    <s v="william wilson"/>
    <s v=" william wilson"/>
    <s v="south"/>
    <s v="san diego, ca"/>
    <s v="san diego"/>
    <s v="ca"/>
    <s v="Laptop  "/>
    <n v="899"/>
    <n v="4"/>
    <n v="3596"/>
    <d v="1924-02-26T00:00:00"/>
    <s v=" customer54@company.com "/>
    <x v="51"/>
  </r>
  <r>
    <n v="2055"/>
    <s v="Patricia Wilson"/>
    <s v="patricia wilson"/>
    <s v=" patricia wilson"/>
    <s v="midwest"/>
    <s v="san antonio, tx"/>
    <s v="san antonio"/>
    <s v="tx"/>
    <s v="Phone  "/>
    <n v="699"/>
    <n v="5"/>
    <n v="3495"/>
    <d v="1924-02-27T00:00:00"/>
    <s v=" customer55@company.com "/>
    <x v="52"/>
  </r>
  <r>
    <n v="2056"/>
    <s v="Linda Johnson"/>
    <s v="LINDA JOHNSON"/>
    <s v="LINDA JOHNSON"/>
    <s v="midwest"/>
    <s v="philadelphia, pa"/>
    <s v="philadelphia"/>
    <s v="pa"/>
    <s v="Keyboard  "/>
    <n v="89"/>
    <n v="3"/>
    <n v="267"/>
    <d v="1924-02-28T00:00:00"/>
    <s v=" customer56@company.com "/>
    <x v="53"/>
  </r>
  <r>
    <n v="2057"/>
    <s v="John Wilson"/>
    <s v="john wilson"/>
    <s v=" john wilson"/>
    <s v="south"/>
    <s v="philadelphia, pa"/>
    <s v="philadelphia"/>
    <s v="pa"/>
    <s v="Keyboard  "/>
    <n v="89"/>
    <n v="3"/>
    <n v="267"/>
    <d v="1924-02-01T00:00:00"/>
    <s v=" customer57@company.com "/>
    <x v="54"/>
  </r>
  <r>
    <n v="2058"/>
    <s v="Linda Brown"/>
    <s v="LINDA brown"/>
    <s v="LINDA  brown"/>
    <s v="west"/>
    <s v="houston, tx"/>
    <s v="houston"/>
    <s v="tx"/>
    <s v="Tablet  "/>
    <n v="499"/>
    <n v="3"/>
    <n v="1497"/>
    <d v="1924-02-02T00:00:00"/>
    <s v=" customer58@company.com "/>
    <x v="55"/>
  </r>
  <r>
    <n v="2059"/>
    <s v="Michael Moore"/>
    <s v="MICHAEL moore"/>
    <s v="MICHAEL   moore"/>
    <s v="south"/>
    <s v="san diego, ca"/>
    <s v="san diego"/>
    <s v="ca"/>
    <s v="Tablet  "/>
    <n v="499"/>
    <n v="1"/>
    <n v="499"/>
    <d v="1924-02-03T00:00:00"/>
    <s v=" customer59@company.com "/>
    <x v="17"/>
  </r>
  <r>
    <n v="2061"/>
    <s v="Barbara Thomas"/>
    <s v="barbara THOMAS"/>
    <s v="barbara THOMAS"/>
    <s v="midwest"/>
    <s v="phoenix, az"/>
    <s v="phoenix"/>
    <s v="az"/>
    <s v="Keyboard  "/>
    <n v="89"/>
    <n v="2"/>
    <n v="178"/>
    <d v="1924-02-05T00:00:00"/>
    <s v=" customer61@company.com "/>
    <x v="56"/>
  </r>
  <r>
    <n v="2062"/>
    <s v="Robert Moore"/>
    <s v="robert moore"/>
    <s v=" robert   moore"/>
    <s v="east"/>
    <s v="houston, tx"/>
    <s v="houston"/>
    <s v="tx"/>
    <s v="Monitor  "/>
    <n v="299"/>
    <n v="5"/>
    <n v="1495"/>
    <d v="1924-02-06T00:00:00"/>
    <s v=" customer62@company.com "/>
    <x v="57"/>
  </r>
  <r>
    <n v="2063"/>
    <s v="James Smith"/>
    <s v="James smith"/>
    <s v="James  smith "/>
    <s v="east"/>
    <s v="philadelphia, pa"/>
    <s v="philadelphia"/>
    <s v="pa"/>
    <s v="Phone  "/>
    <n v="699"/>
    <n v="5"/>
    <n v="3495"/>
    <d v="1924-02-07T00:00:00"/>
    <s v=" customer63@company.com "/>
    <x v="58"/>
  </r>
  <r>
    <n v="2064"/>
    <s v="John Moore"/>
    <s v="john moore"/>
    <s v=" john  moore"/>
    <s v="east"/>
    <s v="houston, tx"/>
    <s v="houston"/>
    <s v="tx"/>
    <s v="Tablet  "/>
    <n v="499"/>
    <n v="5"/>
    <n v="2495"/>
    <d v="1924-02-08T00:00:00"/>
    <s v=" customer64@company.com "/>
    <x v="59"/>
  </r>
  <r>
    <n v="2065"/>
    <s v="Michael Taylor"/>
    <s v="MICHAEL TAYLOR"/>
    <s v="MICHAEL  TAYLOR"/>
    <s v="west"/>
    <s v="los angeles, ca"/>
    <s v="los angeles"/>
    <s v="ca"/>
    <s v="Phone  "/>
    <n v="699"/>
    <n v="5"/>
    <n v="3495"/>
    <d v="1924-02-09T00:00:00"/>
    <s v=" customer65@company.com "/>
    <x v="6"/>
  </r>
  <r>
    <n v="2066"/>
    <s v="James Anderson"/>
    <s v="James Anderson"/>
    <s v="James  Anderson "/>
    <s v="south"/>
    <s v="phoenix, az"/>
    <s v="phoenix"/>
    <s v="az"/>
    <s v="Monitor  "/>
    <n v="299"/>
    <n v="5"/>
    <n v="1495"/>
    <d v="1924-02-10T00:00:00"/>
    <s v=" customer66@company.com "/>
    <x v="60"/>
  </r>
  <r>
    <n v="2067"/>
    <s v="Patricia Johnson"/>
    <s v="patricia JOHNSON"/>
    <s v=" patricia JOHNSON"/>
    <s v="west"/>
    <s v="chicago, il"/>
    <s v="chicago"/>
    <s v="il"/>
    <s v="Monitor  "/>
    <n v="299"/>
    <n v="1"/>
    <n v="299"/>
    <d v="1924-02-11T00:00:00"/>
    <s v=" customer67@company.com "/>
    <x v="61"/>
  </r>
  <r>
    <n v="2068"/>
    <s v="Patricia Thomas"/>
    <s v="patricia THOMAS"/>
    <s v=" patricia THOMAS"/>
    <s v="midwest"/>
    <s v="san diego, ca"/>
    <s v="san diego"/>
    <s v="ca"/>
    <s v="Keyboard  "/>
    <n v="89"/>
    <n v="2"/>
    <n v="178"/>
    <d v="1924-02-12T00:00:00"/>
    <s v=" customer68@company.com "/>
    <x v="62"/>
  </r>
  <r>
    <n v="2069"/>
    <s v="Barbara Brown"/>
    <s v="barbara brown"/>
    <s v="barbara  brown"/>
    <s v="west"/>
    <s v="philadelphia, pa"/>
    <s v="philadelphia"/>
    <s v="pa"/>
    <s v="Phone  "/>
    <n v="699"/>
    <n v="1"/>
    <n v="699"/>
    <d v="1924-02-13T00:00:00"/>
    <s v=" customer69@company.com "/>
    <x v="63"/>
  </r>
  <r>
    <n v="2070"/>
    <s v="Linda Smith"/>
    <s v="LINDA smith"/>
    <s v="LINDA smith "/>
    <s v="midwest"/>
    <s v="new york, ny"/>
    <s v="new york"/>
    <s v="ny"/>
    <s v="Keyboard  "/>
    <n v="89"/>
    <n v="4"/>
    <n v="356"/>
    <d v="1924-02-14T00:00:00"/>
    <s v=" customer70@company.com "/>
    <x v="64"/>
  </r>
  <r>
    <n v="2071"/>
    <s v="John Moore"/>
    <s v="john moore"/>
    <s v=" john  moore"/>
    <s v="west"/>
    <s v="new york, ny"/>
    <s v="new york"/>
    <s v="ny"/>
    <s v="Phone  "/>
    <n v="699"/>
    <n v="3"/>
    <n v="2097"/>
    <d v="1924-02-15T00:00:00"/>
    <s v=" customer71@company.com "/>
    <x v="65"/>
  </r>
  <r>
    <n v="2072"/>
    <s v="John Davis"/>
    <s v="john DAVIS"/>
    <s v=" john DAVIS "/>
    <s v="south"/>
    <s v="los angeles, ca"/>
    <s v="los angeles"/>
    <s v="ca"/>
    <s v="Phone  "/>
    <n v="699"/>
    <n v="2"/>
    <n v="1398"/>
    <d v="1924-02-16T00:00:00"/>
    <s v=" customer72@company.com "/>
    <x v="66"/>
  </r>
  <r>
    <n v="2073"/>
    <s v="John Anderson"/>
    <s v="john Anderson"/>
    <s v=" john Anderson "/>
    <s v="south"/>
    <s v="san antonio, tx"/>
    <s v="san antonio"/>
    <s v="tx"/>
    <s v="Monitor  "/>
    <n v="299"/>
    <n v="5"/>
    <n v="1495"/>
    <d v="1924-02-17T00:00:00"/>
    <s v=" customer73@company.com "/>
    <x v="67"/>
  </r>
  <r>
    <n v="2074"/>
    <s v="Elizabeth Jackson"/>
    <s v="ELIZABETH jackson"/>
    <s v="ELIZABETH   jackson"/>
    <s v="west"/>
    <s v="houston, tx"/>
    <s v="houston"/>
    <s v="tx"/>
    <s v="Laptop  "/>
    <n v="899"/>
    <n v="2"/>
    <n v="1798"/>
    <d v="1924-02-18T00:00:00"/>
    <s v=" customer74@company.com "/>
    <x v="68"/>
  </r>
  <r>
    <n v="2075"/>
    <s v="Elizabeth Taylor"/>
    <s v="ELIZABETH TAYLOR"/>
    <s v="ELIZABETH  TAYLOR"/>
    <s v="west"/>
    <s v="new york, ny"/>
    <s v="new york"/>
    <s v="ny"/>
    <s v="Laptop  "/>
    <n v="899"/>
    <n v="5"/>
    <n v="4495"/>
    <d v="1924-02-19T00:00:00"/>
    <s v=" customer75@company.com "/>
    <x v="69"/>
  </r>
  <r>
    <n v="2076"/>
    <s v="Linda Taylor"/>
    <s v="LINDA TAYLOR"/>
    <s v="LINDA TAYLOR"/>
    <s v="east"/>
    <s v="houston, tx"/>
    <s v="houston"/>
    <s v="tx"/>
    <s v="Tablet  "/>
    <n v="499"/>
    <n v="3"/>
    <n v="1497"/>
    <d v="1924-02-20T00:00:00"/>
    <s v=" customer76@company.com "/>
    <x v="70"/>
  </r>
  <r>
    <n v="2077"/>
    <s v="John Davis"/>
    <s v="john DAVIS"/>
    <s v=" john DAVIS "/>
    <s v="south"/>
    <s v="san diego, ca"/>
    <s v="san diego"/>
    <s v="ca"/>
    <s v="Keyboard  "/>
    <n v="89"/>
    <n v="5"/>
    <n v="445"/>
    <d v="1924-02-21T00:00:00"/>
    <s v=" customer77@company.com "/>
    <x v="71"/>
  </r>
  <r>
    <n v="2078"/>
    <s v="Elizabeth Jackson"/>
    <s v="ELIZABETH jackson"/>
    <s v="ELIZABETH   jackson"/>
    <s v="midwest"/>
    <s v="san diego, ca"/>
    <s v="san diego"/>
    <s v="ca"/>
    <s v="Monitor  "/>
    <n v="299"/>
    <n v="5"/>
    <n v="1495"/>
    <d v="1924-02-22T00:00:00"/>
    <s v=" customer78@company.com "/>
    <x v="72"/>
  </r>
  <r>
    <n v="2079"/>
    <s v="Barbara Wilson"/>
    <s v="barbara wilson"/>
    <s v="barbara wilson"/>
    <s v="west"/>
    <s v="san antonio, tx"/>
    <s v="san antonio"/>
    <s v="tx"/>
    <s v="Monitor  "/>
    <n v="299"/>
    <n v="2"/>
    <n v="598"/>
    <d v="1924-02-23T00:00:00"/>
    <s v=" customer79@company.com "/>
    <x v="73"/>
  </r>
  <r>
    <n v="2080"/>
    <s v="William Thomas"/>
    <s v="william THOMAS"/>
    <s v=" william THOMAS"/>
    <s v="midwest"/>
    <s v="chicago, il"/>
    <s v="chicago"/>
    <s v="il"/>
    <s v="Laptop  "/>
    <n v="899"/>
    <n v="4"/>
    <n v="3596"/>
    <d v="1924-02-24T00:00:00"/>
    <s v=" customer80@company.com "/>
    <x v="74"/>
  </r>
  <r>
    <n v="2082"/>
    <s v="Barbara Thomas"/>
    <s v="barbara THOMAS"/>
    <s v="barbara THOMAS"/>
    <s v="west"/>
    <s v="san antonio, tx"/>
    <s v="san antonio"/>
    <s v="tx"/>
    <s v="Keyboard  "/>
    <n v="89"/>
    <n v="2"/>
    <n v="178"/>
    <d v="1924-02-26T00:00:00"/>
    <s v=" customer82@company.com "/>
    <x v="75"/>
  </r>
  <r>
    <n v="2083"/>
    <s v="Michael Moore"/>
    <s v="MICHAEL moore"/>
    <s v="MICHAEL   moore"/>
    <s v="south"/>
    <s v="san antonio, tx"/>
    <s v="san antonio"/>
    <s v="tx"/>
    <s v="Tablet  "/>
    <n v="499"/>
    <n v="3"/>
    <n v="1497"/>
    <d v="1924-02-27T00:00:00"/>
    <s v=" customer83@company.com "/>
    <x v="76"/>
  </r>
  <r>
    <n v="2084"/>
    <s v="Linda Wilson"/>
    <s v="LINDA wilson"/>
    <s v="LINDA wilson"/>
    <s v="east"/>
    <s v="san diego, ca"/>
    <s v="san diego"/>
    <s v="ca"/>
    <s v="Tablet  "/>
    <n v="499"/>
    <n v="4"/>
    <n v="1996"/>
    <d v="1924-02-28T00:00:00"/>
    <s v=" customer84@company.com "/>
    <x v="77"/>
  </r>
  <r>
    <n v="2085"/>
    <s v="Linda Smith"/>
    <s v="LINDA smith"/>
    <s v="LINDA smith "/>
    <s v="midwest"/>
    <s v="los angeles, ca"/>
    <s v="los angeles"/>
    <s v="ca"/>
    <s v="Tablet  "/>
    <n v="499"/>
    <n v="3"/>
    <n v="1497"/>
    <d v="1924-02-01T00:00:00"/>
    <s v=" customer85@company.com "/>
    <x v="78"/>
  </r>
  <r>
    <n v="2086"/>
    <s v="Elizabeth Moore"/>
    <s v="ELIZABETH moore"/>
    <s v="ELIZABETH   moore"/>
    <s v="south"/>
    <s v="philadelphia, pa"/>
    <s v="philadelphia"/>
    <s v="pa"/>
    <s v="Laptop  "/>
    <n v="899"/>
    <n v="1"/>
    <n v="899"/>
    <d v="1924-02-02T00:00:00"/>
    <s v=" customer86@company.com "/>
    <x v="79"/>
  </r>
  <r>
    <n v="2087"/>
    <s v="Barbara Wilson"/>
    <s v="barbara wilson"/>
    <s v="barbara wilson"/>
    <s v="west"/>
    <s v="phoenix, az"/>
    <s v="phoenix"/>
    <s v="az"/>
    <s v="Laptop  "/>
    <n v="899"/>
    <n v="4"/>
    <n v="3596"/>
    <d v="1924-02-03T00:00:00"/>
    <s v=" customer87@company.com "/>
    <x v="80"/>
  </r>
  <r>
    <n v="2088"/>
    <s v="Linda Moore"/>
    <s v="LINDA moore"/>
    <s v="LINDA  moore"/>
    <s v="west"/>
    <s v="houston, tx"/>
    <s v="houston"/>
    <s v="tx"/>
    <s v="Laptop  "/>
    <n v="899"/>
    <n v="5"/>
    <n v="4495"/>
    <d v="1924-02-04T00:00:00"/>
    <s v=" customer88@company.com "/>
    <x v="81"/>
  </r>
  <r>
    <n v="2089"/>
    <s v="Mary Smith"/>
    <s v="MARY smith"/>
    <s v="MARY  smith "/>
    <s v="midwest"/>
    <s v="los angeles, ca"/>
    <s v="los angeles"/>
    <s v="ca"/>
    <s v="Tablet  "/>
    <n v="499"/>
    <n v="1"/>
    <n v="499"/>
    <d v="1924-02-05T00:00:00"/>
    <s v=" customer89@company.com "/>
    <x v="82"/>
  </r>
  <r>
    <n v="2090"/>
    <s v="John Brown"/>
    <s v="john brown"/>
    <s v=" john  brown"/>
    <s v="midwest"/>
    <s v="chicago, il"/>
    <s v="chicago"/>
    <s v="il"/>
    <s v="Phone  "/>
    <n v="699"/>
    <n v="4"/>
    <n v="2796"/>
    <d v="1924-02-06T00:00:00"/>
    <s v=" customer90@company.com "/>
    <x v="83"/>
  </r>
  <r>
    <n v="2091"/>
    <s v="James Davis"/>
    <s v="James DAVIS"/>
    <s v="James  DAVIS "/>
    <s v="west"/>
    <s v="houston, tx"/>
    <s v="houston"/>
    <s v="tx"/>
    <s v="Laptop  "/>
    <n v="899"/>
    <n v="1"/>
    <n v="899"/>
    <d v="1924-02-07T00:00:00"/>
    <s v=" customer91@company.com "/>
    <x v="84"/>
  </r>
  <r>
    <n v="2092"/>
    <s v="Linda Thomas"/>
    <s v="LINDA THOMAS"/>
    <s v="LINDA THOMAS"/>
    <s v="south"/>
    <s v="philadelphia, pa"/>
    <s v="philadelphia"/>
    <s v="pa"/>
    <s v="Laptop  "/>
    <n v="899"/>
    <n v="5"/>
    <n v="4495"/>
    <d v="1924-02-08T00:00:00"/>
    <s v=" customer92@company.com "/>
    <x v="85"/>
  </r>
  <r>
    <n v="2093"/>
    <s v="Patricia Wilson"/>
    <s v="patricia wilson"/>
    <s v=" patricia wilson"/>
    <s v="south"/>
    <s v="chicago, il"/>
    <s v="chicago"/>
    <s v="il"/>
    <s v="Laptop  "/>
    <n v="899"/>
    <n v="3"/>
    <n v="2697"/>
    <d v="1924-02-09T00:00:00"/>
    <s v=" customer93@company.com "/>
    <x v="86"/>
  </r>
  <r>
    <n v="2094"/>
    <s v="Michael Thomas"/>
    <s v="MICHAEL THOMAS"/>
    <s v="MICHAEL  THOMAS"/>
    <s v="west"/>
    <s v="new york, ny"/>
    <s v="new york"/>
    <s v="ny"/>
    <s v="Phone  "/>
    <n v="699"/>
    <n v="1"/>
    <n v="699"/>
    <d v="1924-02-10T00:00:00"/>
    <s v=" customer94@company.com "/>
    <x v="87"/>
  </r>
  <r>
    <n v="2096"/>
    <s v="John Moore"/>
    <s v="john moore"/>
    <s v=" john  moore"/>
    <s v="midwest"/>
    <s v="phoenix, az"/>
    <s v="phoenix"/>
    <s v="az"/>
    <s v="Keyboard  "/>
    <n v="89"/>
    <n v="4"/>
    <n v="356"/>
    <d v="1924-02-12T00:00:00"/>
    <s v=" customer96@company.com "/>
    <x v="88"/>
  </r>
  <r>
    <n v="2097"/>
    <s v="Mary Thomas"/>
    <s v="MARY THOMAS"/>
    <s v="MARY  THOMAS"/>
    <s v="midwest"/>
    <s v="new york, ny"/>
    <s v="new york"/>
    <s v="ny"/>
    <s v="Monitor  "/>
    <n v="299"/>
    <n v="3"/>
    <n v="897"/>
    <d v="1924-02-13T00:00:00"/>
    <s v=" customer97@company.com "/>
    <x v="89"/>
  </r>
  <r>
    <n v="2098"/>
    <s v="William Jackson"/>
    <s v="william jackson"/>
    <s v=" william  jackson"/>
    <s v="west"/>
    <s v="san antonio, tx"/>
    <s v="san antonio"/>
    <s v="tx"/>
    <s v="Phone  "/>
    <n v="699"/>
    <n v="2"/>
    <n v="1398"/>
    <d v="1924-02-14T00:00:00"/>
    <s v=" customer98@company.com "/>
    <x v="90"/>
  </r>
  <r>
    <n v="2099"/>
    <s v="Robert Moore"/>
    <s v="robert moore"/>
    <s v=" robert   moore"/>
    <s v="west"/>
    <s v="chicago, il"/>
    <s v="chicago"/>
    <s v="il"/>
    <s v="Tablet  "/>
    <n v="499"/>
    <n v="5"/>
    <n v="2495"/>
    <d v="1924-02-15T00:00:00"/>
    <s v=" customer99@company.com "/>
    <x v="91"/>
  </r>
  <r>
    <n v="2100"/>
    <s v="Patricia Johnson"/>
    <s v="patricia JOHNSON"/>
    <s v=" patricia JOHNSON"/>
    <s v="south"/>
    <s v="los angeles, ca"/>
    <s v="los angeles"/>
    <s v="ca"/>
    <s v="Monitor  "/>
    <n v="299"/>
    <n v="1"/>
    <n v="299"/>
    <d v="1924-02-16T00:00:00"/>
    <s v=" customer100@company.com "/>
    <x v="92"/>
  </r>
  <r>
    <m/>
    <s v=""/>
    <m/>
    <m/>
    <m/>
    <m/>
    <m/>
    <m/>
    <m/>
    <m/>
    <m/>
    <m/>
    <m/>
    <m/>
    <x v="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A40D1-911D-4932-90C9-CC47C51CA009}" name="PivotTable7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8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95">
        <item x="63"/>
        <item x="12"/>
        <item x="34"/>
        <item x="46"/>
        <item x="30"/>
        <item x="13"/>
        <item x="56"/>
        <item x="75"/>
        <item x="22"/>
        <item x="80"/>
        <item x="73"/>
        <item x="8"/>
        <item x="41"/>
        <item x="68"/>
        <item x="43"/>
        <item x="72"/>
        <item x="9"/>
        <item x="11"/>
        <item x="79"/>
        <item x="69"/>
        <item x="45"/>
        <item x="15"/>
        <item x="60"/>
        <item x="84"/>
        <item x="32"/>
        <item x="42"/>
        <item x="25"/>
        <item x="58"/>
        <item x="49"/>
        <item x="67"/>
        <item x="83"/>
        <item x="66"/>
        <item x="71"/>
        <item x="37"/>
        <item x="59"/>
        <item x="65"/>
        <item x="88"/>
        <item x="50"/>
        <item x="54"/>
        <item x="19"/>
        <item x="55"/>
        <item x="47"/>
        <item x="31"/>
        <item x="53"/>
        <item x="81"/>
        <item x="23"/>
        <item x="78"/>
        <item x="64"/>
        <item x="70"/>
        <item x="85"/>
        <item x="39"/>
        <item x="77"/>
        <item x="26"/>
        <item x="33"/>
        <item x="36"/>
        <item x="82"/>
        <item x="44"/>
        <item x="89"/>
        <item x="5"/>
        <item x="40"/>
        <item x="2"/>
        <item x="38"/>
        <item x="76"/>
        <item x="17"/>
        <item x="6"/>
        <item x="21"/>
        <item x="87"/>
        <item x="28"/>
        <item x="3"/>
        <item x="27"/>
        <item x="61"/>
        <item x="92"/>
        <item x="14"/>
        <item x="18"/>
        <item x="0"/>
        <item x="24"/>
        <item x="62"/>
        <item x="86"/>
        <item x="52"/>
        <item x="29"/>
        <item x="48"/>
        <item x="7"/>
        <item x="4"/>
        <item x="91"/>
        <item x="57"/>
        <item x="16"/>
        <item x="10"/>
        <item x="1"/>
        <item x="20"/>
        <item x="90"/>
        <item x="35"/>
        <item x="74"/>
        <item x="51"/>
        <item x="93"/>
        <item t="default"/>
      </items>
    </pivotField>
  </pivotFields>
  <rowFields count="1">
    <field x="14"/>
  </rowFields>
  <rowItems count="9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 t="grand">
      <x/>
    </i>
  </rowItems>
  <colItems count="1">
    <i/>
  </colItems>
  <dataFields count="1">
    <dataField name="Sum of Total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146525-C59A-459E-BEBD-B4B3D5E5201D}" name="PivotTable6" cacheId="7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B6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</pivotFields>
  <rowFields count="1">
    <field x="1"/>
  </rowFields>
  <row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 t="grand">
      <x/>
    </i>
  </rowItems>
  <colItems count="1">
    <i/>
  </colItems>
  <dataFields count="1">
    <dataField name="Sum of TotalSales" fld="0" baseField="0" baseItem="0"/>
  </dataField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w Sales Data!$A$1:$N$97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FC48-28A9-4320-8E00-A76358EA063D}">
  <dimension ref="A3:B98"/>
  <sheetViews>
    <sheetView tabSelected="1" topLeftCell="A43" workbookViewId="0">
      <selection activeCell="A3" sqref="A3"/>
    </sheetView>
  </sheetViews>
  <sheetFormatPr defaultRowHeight="14.5" x14ac:dyDescent="0.35"/>
  <cols>
    <col min="1" max="1" width="30.7265625" bestFit="1" customWidth="1"/>
    <col min="2" max="2" width="15.6328125" bestFit="1" customWidth="1"/>
  </cols>
  <sheetData>
    <row r="3" spans="1:2" x14ac:dyDescent="0.35">
      <c r="A3" s="2" t="s">
        <v>197</v>
      </c>
      <c r="B3" t="s">
        <v>200</v>
      </c>
    </row>
    <row r="4" spans="1:2" x14ac:dyDescent="0.35">
      <c r="A4" s="3" t="s">
        <v>276</v>
      </c>
      <c r="B4" s="4">
        <v>699</v>
      </c>
    </row>
    <row r="5" spans="1:2" x14ac:dyDescent="0.35">
      <c r="A5" s="3" t="s">
        <v>277</v>
      </c>
      <c r="B5" s="4">
        <v>1996</v>
      </c>
    </row>
    <row r="6" spans="1:2" x14ac:dyDescent="0.35">
      <c r="A6" s="3" t="s">
        <v>278</v>
      </c>
      <c r="B6" s="4">
        <v>3495</v>
      </c>
    </row>
    <row r="7" spans="1:2" x14ac:dyDescent="0.35">
      <c r="A7" s="3" t="s">
        <v>279</v>
      </c>
      <c r="B7" s="4">
        <v>1196</v>
      </c>
    </row>
    <row r="8" spans="1:2" x14ac:dyDescent="0.35">
      <c r="A8" s="3" t="s">
        <v>280</v>
      </c>
      <c r="B8" s="4">
        <v>897</v>
      </c>
    </row>
    <row r="9" spans="1:2" x14ac:dyDescent="0.35">
      <c r="A9" s="3" t="s">
        <v>281</v>
      </c>
      <c r="B9" s="4">
        <v>1497</v>
      </c>
    </row>
    <row r="10" spans="1:2" x14ac:dyDescent="0.35">
      <c r="A10" s="3" t="s">
        <v>282</v>
      </c>
      <c r="B10" s="4">
        <v>178</v>
      </c>
    </row>
    <row r="11" spans="1:2" x14ac:dyDescent="0.35">
      <c r="A11" s="3" t="s">
        <v>283</v>
      </c>
      <c r="B11" s="4">
        <v>178</v>
      </c>
    </row>
    <row r="12" spans="1:2" x14ac:dyDescent="0.35">
      <c r="A12" s="3" t="s">
        <v>284</v>
      </c>
      <c r="B12" s="4">
        <v>3596</v>
      </c>
    </row>
    <row r="13" spans="1:2" x14ac:dyDescent="0.35">
      <c r="A13" s="3" t="s">
        <v>285</v>
      </c>
      <c r="B13" s="4">
        <v>3596</v>
      </c>
    </row>
    <row r="14" spans="1:2" x14ac:dyDescent="0.35">
      <c r="A14" s="3" t="s">
        <v>286</v>
      </c>
      <c r="B14" s="4">
        <v>598</v>
      </c>
    </row>
    <row r="15" spans="1:2" x14ac:dyDescent="0.35">
      <c r="A15" s="3" t="s">
        <v>287</v>
      </c>
      <c r="B15" s="4">
        <v>2796</v>
      </c>
    </row>
    <row r="16" spans="1:2" x14ac:dyDescent="0.35">
      <c r="A16" s="3" t="s">
        <v>288</v>
      </c>
      <c r="B16" s="4">
        <v>4495</v>
      </c>
    </row>
    <row r="17" spans="1:2" x14ac:dyDescent="0.35">
      <c r="A17" s="3" t="s">
        <v>289</v>
      </c>
      <c r="B17" s="4">
        <v>1798</v>
      </c>
    </row>
    <row r="18" spans="1:2" x14ac:dyDescent="0.35">
      <c r="A18" s="3" t="s">
        <v>290</v>
      </c>
      <c r="B18" s="4">
        <v>267</v>
      </c>
    </row>
    <row r="19" spans="1:2" x14ac:dyDescent="0.35">
      <c r="A19" s="3" t="s">
        <v>291</v>
      </c>
      <c r="B19" s="4">
        <v>1495</v>
      </c>
    </row>
    <row r="20" spans="1:2" x14ac:dyDescent="0.35">
      <c r="A20" s="3" t="s">
        <v>292</v>
      </c>
      <c r="B20" s="4">
        <v>4495</v>
      </c>
    </row>
    <row r="21" spans="1:2" x14ac:dyDescent="0.35">
      <c r="A21" s="3" t="s">
        <v>293</v>
      </c>
      <c r="B21" s="4">
        <v>2697</v>
      </c>
    </row>
    <row r="22" spans="1:2" x14ac:dyDescent="0.35">
      <c r="A22" s="3" t="s">
        <v>294</v>
      </c>
      <c r="B22" s="4">
        <v>899</v>
      </c>
    </row>
    <row r="23" spans="1:2" x14ac:dyDescent="0.35">
      <c r="A23" s="3" t="s">
        <v>295</v>
      </c>
      <c r="B23" s="4">
        <v>4495</v>
      </c>
    </row>
    <row r="24" spans="1:2" x14ac:dyDescent="0.35">
      <c r="A24" s="3" t="s">
        <v>296</v>
      </c>
      <c r="B24" s="4">
        <v>89</v>
      </c>
    </row>
    <row r="25" spans="1:2" x14ac:dyDescent="0.35">
      <c r="A25" s="3" t="s">
        <v>297</v>
      </c>
      <c r="B25" s="4">
        <v>1996</v>
      </c>
    </row>
    <row r="26" spans="1:2" x14ac:dyDescent="0.35">
      <c r="A26" s="3" t="s">
        <v>298</v>
      </c>
      <c r="B26" s="4">
        <v>1495</v>
      </c>
    </row>
    <row r="27" spans="1:2" x14ac:dyDescent="0.35">
      <c r="A27" s="3" t="s">
        <v>299</v>
      </c>
      <c r="B27" s="4">
        <v>899</v>
      </c>
    </row>
    <row r="28" spans="1:2" x14ac:dyDescent="0.35">
      <c r="A28" s="3" t="s">
        <v>300</v>
      </c>
      <c r="B28" s="4">
        <v>699</v>
      </c>
    </row>
    <row r="29" spans="1:2" x14ac:dyDescent="0.35">
      <c r="A29" s="3" t="s">
        <v>301</v>
      </c>
      <c r="B29" s="4">
        <v>1996</v>
      </c>
    </row>
    <row r="30" spans="1:2" x14ac:dyDescent="0.35">
      <c r="A30" s="3" t="s">
        <v>302</v>
      </c>
      <c r="B30" s="4">
        <v>4495</v>
      </c>
    </row>
    <row r="31" spans="1:2" x14ac:dyDescent="0.35">
      <c r="A31" s="3" t="s">
        <v>303</v>
      </c>
      <c r="B31" s="4">
        <v>3495</v>
      </c>
    </row>
    <row r="32" spans="1:2" x14ac:dyDescent="0.35">
      <c r="A32" s="3" t="s">
        <v>304</v>
      </c>
      <c r="B32" s="4">
        <v>445</v>
      </c>
    </row>
    <row r="33" spans="1:2" x14ac:dyDescent="0.35">
      <c r="A33" s="3" t="s">
        <v>305</v>
      </c>
      <c r="B33" s="4">
        <v>1495</v>
      </c>
    </row>
    <row r="34" spans="1:2" x14ac:dyDescent="0.35">
      <c r="A34" s="3" t="s">
        <v>306</v>
      </c>
      <c r="B34" s="4">
        <v>2796</v>
      </c>
    </row>
    <row r="35" spans="1:2" x14ac:dyDescent="0.35">
      <c r="A35" s="3" t="s">
        <v>307</v>
      </c>
      <c r="B35" s="4">
        <v>1398</v>
      </c>
    </row>
    <row r="36" spans="1:2" x14ac:dyDescent="0.35">
      <c r="A36" s="3" t="s">
        <v>308</v>
      </c>
      <c r="B36" s="4">
        <v>445</v>
      </c>
    </row>
    <row r="37" spans="1:2" x14ac:dyDescent="0.35">
      <c r="A37" s="3" t="s">
        <v>309</v>
      </c>
      <c r="B37" s="4">
        <v>899</v>
      </c>
    </row>
    <row r="38" spans="1:2" x14ac:dyDescent="0.35">
      <c r="A38" s="3" t="s">
        <v>310</v>
      </c>
      <c r="B38" s="4">
        <v>2495</v>
      </c>
    </row>
    <row r="39" spans="1:2" x14ac:dyDescent="0.35">
      <c r="A39" s="3" t="s">
        <v>311</v>
      </c>
      <c r="B39" s="4">
        <v>2097</v>
      </c>
    </row>
    <row r="40" spans="1:2" x14ac:dyDescent="0.35">
      <c r="A40" s="3" t="s">
        <v>312</v>
      </c>
      <c r="B40" s="4">
        <v>356</v>
      </c>
    </row>
    <row r="41" spans="1:2" x14ac:dyDescent="0.35">
      <c r="A41" s="3" t="s">
        <v>313</v>
      </c>
      <c r="B41" s="4">
        <v>1398</v>
      </c>
    </row>
    <row r="42" spans="1:2" x14ac:dyDescent="0.35">
      <c r="A42" s="3" t="s">
        <v>314</v>
      </c>
      <c r="B42" s="4">
        <v>267</v>
      </c>
    </row>
    <row r="43" spans="1:2" x14ac:dyDescent="0.35">
      <c r="A43" s="3" t="s">
        <v>315</v>
      </c>
      <c r="B43" s="4">
        <v>1398</v>
      </c>
    </row>
    <row r="44" spans="1:2" x14ac:dyDescent="0.35">
      <c r="A44" s="3" t="s">
        <v>316</v>
      </c>
      <c r="B44" s="4">
        <v>1497</v>
      </c>
    </row>
    <row r="45" spans="1:2" x14ac:dyDescent="0.35">
      <c r="A45" s="3" t="s">
        <v>317</v>
      </c>
      <c r="B45" s="4">
        <v>356</v>
      </c>
    </row>
    <row r="46" spans="1:2" x14ac:dyDescent="0.35">
      <c r="A46" s="3" t="s">
        <v>318</v>
      </c>
      <c r="B46" s="4">
        <v>4495</v>
      </c>
    </row>
    <row r="47" spans="1:2" x14ac:dyDescent="0.35">
      <c r="A47" s="3" t="s">
        <v>319</v>
      </c>
      <c r="B47" s="4">
        <v>267</v>
      </c>
    </row>
    <row r="48" spans="1:2" x14ac:dyDescent="0.35">
      <c r="A48" s="3" t="s">
        <v>320</v>
      </c>
      <c r="B48" s="4">
        <v>4495</v>
      </c>
    </row>
    <row r="49" spans="1:2" x14ac:dyDescent="0.35">
      <c r="A49" s="3" t="s">
        <v>321</v>
      </c>
      <c r="B49" s="4">
        <v>897</v>
      </c>
    </row>
    <row r="50" spans="1:2" x14ac:dyDescent="0.35">
      <c r="A50" s="3" t="s">
        <v>322</v>
      </c>
      <c r="B50" s="4">
        <v>1497</v>
      </c>
    </row>
    <row r="51" spans="1:2" x14ac:dyDescent="0.35">
      <c r="A51" s="3" t="s">
        <v>323</v>
      </c>
      <c r="B51" s="4">
        <v>356</v>
      </c>
    </row>
    <row r="52" spans="1:2" x14ac:dyDescent="0.35">
      <c r="A52" s="3" t="s">
        <v>324</v>
      </c>
      <c r="B52" s="4">
        <v>1497</v>
      </c>
    </row>
    <row r="53" spans="1:2" x14ac:dyDescent="0.35">
      <c r="A53" s="3" t="s">
        <v>325</v>
      </c>
      <c r="B53" s="4">
        <v>4495</v>
      </c>
    </row>
    <row r="54" spans="1:2" x14ac:dyDescent="0.35">
      <c r="A54" s="3" t="s">
        <v>326</v>
      </c>
      <c r="B54" s="4">
        <v>178</v>
      </c>
    </row>
    <row r="55" spans="1:2" x14ac:dyDescent="0.35">
      <c r="A55" s="3" t="s">
        <v>327</v>
      </c>
      <c r="B55" s="4">
        <v>1996</v>
      </c>
    </row>
    <row r="56" spans="1:2" x14ac:dyDescent="0.35">
      <c r="A56" s="3" t="s">
        <v>328</v>
      </c>
      <c r="B56" s="4">
        <v>998</v>
      </c>
    </row>
    <row r="57" spans="1:2" x14ac:dyDescent="0.35">
      <c r="A57" s="3" t="s">
        <v>329</v>
      </c>
      <c r="B57" s="4">
        <v>178</v>
      </c>
    </row>
    <row r="58" spans="1:2" x14ac:dyDescent="0.35">
      <c r="A58" s="3" t="s">
        <v>330</v>
      </c>
      <c r="B58" s="4">
        <v>2097</v>
      </c>
    </row>
    <row r="59" spans="1:2" x14ac:dyDescent="0.35">
      <c r="A59" s="3" t="s">
        <v>331</v>
      </c>
      <c r="B59" s="4">
        <v>499</v>
      </c>
    </row>
    <row r="60" spans="1:2" x14ac:dyDescent="0.35">
      <c r="A60" s="3" t="s">
        <v>332</v>
      </c>
      <c r="B60" s="4">
        <v>1996</v>
      </c>
    </row>
    <row r="61" spans="1:2" x14ac:dyDescent="0.35">
      <c r="A61" s="3" t="s">
        <v>333</v>
      </c>
      <c r="B61" s="4">
        <v>897</v>
      </c>
    </row>
    <row r="62" spans="1:2" x14ac:dyDescent="0.35">
      <c r="A62" s="3" t="s">
        <v>334</v>
      </c>
      <c r="B62" s="4">
        <v>2495</v>
      </c>
    </row>
    <row r="63" spans="1:2" x14ac:dyDescent="0.35">
      <c r="A63" s="3" t="s">
        <v>335</v>
      </c>
      <c r="B63" s="4">
        <v>89</v>
      </c>
    </row>
    <row r="64" spans="1:2" x14ac:dyDescent="0.35">
      <c r="A64" s="3" t="s">
        <v>336</v>
      </c>
      <c r="B64" s="4">
        <v>1398</v>
      </c>
    </row>
    <row r="65" spans="1:2" x14ac:dyDescent="0.35">
      <c r="A65" s="3" t="s">
        <v>337</v>
      </c>
      <c r="B65" s="4">
        <v>267</v>
      </c>
    </row>
    <row r="66" spans="1:2" x14ac:dyDescent="0.35">
      <c r="A66" s="3" t="s">
        <v>338</v>
      </c>
      <c r="B66" s="4">
        <v>1497</v>
      </c>
    </row>
    <row r="67" spans="1:2" x14ac:dyDescent="0.35">
      <c r="A67" s="3" t="s">
        <v>339</v>
      </c>
      <c r="B67" s="4">
        <v>855</v>
      </c>
    </row>
    <row r="68" spans="1:2" x14ac:dyDescent="0.35">
      <c r="A68" s="3" t="s">
        <v>340</v>
      </c>
      <c r="B68" s="4">
        <v>4992</v>
      </c>
    </row>
    <row r="69" spans="1:2" x14ac:dyDescent="0.35">
      <c r="A69" s="3" t="s">
        <v>341</v>
      </c>
      <c r="B69" s="4">
        <v>1398</v>
      </c>
    </row>
    <row r="70" spans="1:2" x14ac:dyDescent="0.35">
      <c r="A70" s="3" t="s">
        <v>342</v>
      </c>
      <c r="B70" s="4">
        <v>699</v>
      </c>
    </row>
    <row r="71" spans="1:2" x14ac:dyDescent="0.35">
      <c r="A71" s="3" t="s">
        <v>343</v>
      </c>
      <c r="B71" s="4">
        <v>1798</v>
      </c>
    </row>
    <row r="72" spans="1:2" x14ac:dyDescent="0.35">
      <c r="A72" s="3" t="s">
        <v>344</v>
      </c>
      <c r="B72" s="4">
        <v>4495</v>
      </c>
    </row>
    <row r="73" spans="1:2" x14ac:dyDescent="0.35">
      <c r="A73" s="3" t="s">
        <v>345</v>
      </c>
      <c r="B73" s="4">
        <v>699</v>
      </c>
    </row>
    <row r="74" spans="1:2" x14ac:dyDescent="0.35">
      <c r="A74" s="3" t="s">
        <v>346</v>
      </c>
      <c r="B74" s="4">
        <v>299</v>
      </c>
    </row>
    <row r="75" spans="1:2" x14ac:dyDescent="0.35">
      <c r="A75" s="3" t="s">
        <v>347</v>
      </c>
      <c r="B75" s="4">
        <v>299</v>
      </c>
    </row>
    <row r="76" spans="1:2" x14ac:dyDescent="0.35">
      <c r="A76" s="3" t="s">
        <v>348</v>
      </c>
      <c r="B76" s="4">
        <v>1196</v>
      </c>
    </row>
    <row r="77" spans="1:2" x14ac:dyDescent="0.35">
      <c r="A77" s="3" t="s">
        <v>349</v>
      </c>
      <c r="B77" s="4">
        <v>1196</v>
      </c>
    </row>
    <row r="78" spans="1:2" x14ac:dyDescent="0.35">
      <c r="A78" s="3" t="s">
        <v>350</v>
      </c>
      <c r="B78" s="4">
        <v>445</v>
      </c>
    </row>
    <row r="79" spans="1:2" x14ac:dyDescent="0.35">
      <c r="A79" s="3" t="s">
        <v>351</v>
      </c>
      <c r="B79" s="4">
        <v>267</v>
      </c>
    </row>
    <row r="80" spans="1:2" x14ac:dyDescent="0.35">
      <c r="A80" s="3" t="s">
        <v>352</v>
      </c>
      <c r="B80" s="4">
        <v>178</v>
      </c>
    </row>
    <row r="81" spans="1:2" x14ac:dyDescent="0.35">
      <c r="A81" s="3" t="s">
        <v>353</v>
      </c>
      <c r="B81" s="4">
        <v>2697</v>
      </c>
    </row>
    <row r="82" spans="1:2" x14ac:dyDescent="0.35">
      <c r="A82" s="3" t="s">
        <v>354</v>
      </c>
      <c r="B82" s="4">
        <v>3495</v>
      </c>
    </row>
    <row r="83" spans="1:2" x14ac:dyDescent="0.35">
      <c r="A83" s="3" t="s">
        <v>355</v>
      </c>
      <c r="B83" s="4">
        <v>4495</v>
      </c>
    </row>
    <row r="84" spans="1:2" x14ac:dyDescent="0.35">
      <c r="A84" s="3" t="s">
        <v>356</v>
      </c>
      <c r="B84" s="4">
        <v>598</v>
      </c>
    </row>
    <row r="85" spans="1:2" x14ac:dyDescent="0.35">
      <c r="A85" s="3" t="s">
        <v>357</v>
      </c>
      <c r="B85" s="4">
        <v>897</v>
      </c>
    </row>
    <row r="86" spans="1:2" x14ac:dyDescent="0.35">
      <c r="A86" s="3" t="s">
        <v>358</v>
      </c>
      <c r="B86" s="4">
        <v>445</v>
      </c>
    </row>
    <row r="87" spans="1:2" x14ac:dyDescent="0.35">
      <c r="A87" s="3" t="s">
        <v>359</v>
      </c>
      <c r="B87" s="4">
        <v>2495</v>
      </c>
    </row>
    <row r="88" spans="1:2" x14ac:dyDescent="0.35">
      <c r="A88" s="3" t="s">
        <v>360</v>
      </c>
      <c r="B88" s="4">
        <v>1495</v>
      </c>
    </row>
    <row r="89" spans="1:2" x14ac:dyDescent="0.35">
      <c r="A89" s="3" t="s">
        <v>361</v>
      </c>
      <c r="B89" s="4">
        <v>1996</v>
      </c>
    </row>
    <row r="90" spans="1:2" x14ac:dyDescent="0.35">
      <c r="A90" s="3" t="s">
        <v>362</v>
      </c>
      <c r="B90" s="4">
        <v>4495</v>
      </c>
    </row>
    <row r="91" spans="1:2" x14ac:dyDescent="0.35">
      <c r="A91" s="3" t="s">
        <v>363</v>
      </c>
      <c r="B91" s="4">
        <v>2697</v>
      </c>
    </row>
    <row r="92" spans="1:2" x14ac:dyDescent="0.35">
      <c r="A92" s="3" t="s">
        <v>364</v>
      </c>
      <c r="B92" s="4">
        <v>445</v>
      </c>
    </row>
    <row r="93" spans="1:2" x14ac:dyDescent="0.35">
      <c r="A93" s="3" t="s">
        <v>365</v>
      </c>
      <c r="B93" s="4">
        <v>1398</v>
      </c>
    </row>
    <row r="94" spans="1:2" x14ac:dyDescent="0.35">
      <c r="A94" s="3" t="s">
        <v>366</v>
      </c>
      <c r="B94" s="4">
        <v>267</v>
      </c>
    </row>
    <row r="95" spans="1:2" x14ac:dyDescent="0.35">
      <c r="A95" s="3" t="s">
        <v>367</v>
      </c>
      <c r="B95" s="4">
        <v>3596</v>
      </c>
    </row>
    <row r="96" spans="1:2" x14ac:dyDescent="0.35">
      <c r="A96" s="3" t="s">
        <v>368</v>
      </c>
      <c r="B96" s="4">
        <v>3596</v>
      </c>
    </row>
    <row r="97" spans="1:2" x14ac:dyDescent="0.35">
      <c r="A97" s="3" t="s">
        <v>198</v>
      </c>
      <c r="B97" s="4"/>
    </row>
    <row r="98" spans="1:2" x14ac:dyDescent="0.35">
      <c r="A98" s="3" t="s">
        <v>199</v>
      </c>
      <c r="B98" s="4">
        <v>160376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8"/>
  <sheetViews>
    <sheetView workbookViewId="0">
      <selection sqref="A1:O97"/>
    </sheetView>
  </sheetViews>
  <sheetFormatPr defaultRowHeight="14.5" x14ac:dyDescent="0.35"/>
  <cols>
    <col min="2" max="2" width="16" bestFit="1" customWidth="1"/>
    <col min="3" max="3" width="12.26953125" bestFit="1" customWidth="1"/>
    <col min="4" max="4" width="19.453125" customWidth="1"/>
    <col min="6" max="6" width="14.1796875" bestFit="1" customWidth="1"/>
    <col min="9" max="9" width="9.6328125" bestFit="1" customWidth="1"/>
    <col min="13" max="13" width="9.453125" bestFit="1" customWidth="1"/>
    <col min="14" max="14" width="26.453125" bestFit="1" customWidth="1"/>
    <col min="15" max="15" width="22.36328125" bestFit="1" customWidth="1"/>
  </cols>
  <sheetData>
    <row r="1" spans="1:32" x14ac:dyDescent="0.35">
      <c r="A1" t="s">
        <v>0</v>
      </c>
      <c r="B1" t="s">
        <v>190</v>
      </c>
      <c r="C1" t="s">
        <v>189</v>
      </c>
      <c r="D1" t="s">
        <v>1</v>
      </c>
      <c r="E1" t="s">
        <v>2</v>
      </c>
      <c r="F1" t="s">
        <v>191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275</v>
      </c>
    </row>
    <row r="2" spans="1:32" x14ac:dyDescent="0.35">
      <c r="A2">
        <v>2001</v>
      </c>
      <c r="B2" t="str">
        <f>PROPER(C2)</f>
        <v>Patricia Taylor</v>
      </c>
      <c r="C2" t="str">
        <f>TRIM(D2)</f>
        <v>patricia TAYLOR</v>
      </c>
      <c r="D2" t="s">
        <v>11</v>
      </c>
      <c r="E2" t="s">
        <v>12</v>
      </c>
      <c r="F2" t="str">
        <f>_xlfn.CONCAT(G2,", ",H2)</f>
        <v>chicago, il</v>
      </c>
      <c r="G2" t="s">
        <v>13</v>
      </c>
      <c r="H2" t="s">
        <v>14</v>
      </c>
      <c r="I2" t="s">
        <v>196</v>
      </c>
      <c r="J2">
        <v>89</v>
      </c>
      <c r="K2">
        <v>5</v>
      </c>
      <c r="L2">
        <v>445</v>
      </c>
      <c r="M2" s="1">
        <v>8798</v>
      </c>
      <c r="N2" t="s">
        <v>15</v>
      </c>
      <c r="O2" t="str">
        <f>B2&amp;" - "&amp;F2</f>
        <v>Patricia Taylor - chicago, il</v>
      </c>
    </row>
    <row r="3" spans="1:32" x14ac:dyDescent="0.35">
      <c r="A3">
        <v>2002</v>
      </c>
      <c r="B3" t="str">
        <f>PROPER(C3)</f>
        <v>Robert Wilson</v>
      </c>
      <c r="C3" t="str">
        <f>TRIM(D3)</f>
        <v>robert wilson</v>
      </c>
      <c r="D3" t="s">
        <v>16</v>
      </c>
      <c r="E3" t="s">
        <v>12</v>
      </c>
      <c r="F3" t="str">
        <f>_xlfn.CONCAT(G3,", ",H3)</f>
        <v>san antonio, tx</v>
      </c>
      <c r="G3" t="s">
        <v>17</v>
      </c>
      <c r="H3" t="s">
        <v>18</v>
      </c>
      <c r="I3" t="s">
        <v>192</v>
      </c>
      <c r="J3">
        <v>899</v>
      </c>
      <c r="K3">
        <v>3</v>
      </c>
      <c r="L3">
        <v>2697</v>
      </c>
      <c r="M3" s="1">
        <v>8799</v>
      </c>
      <c r="N3" t="s">
        <v>19</v>
      </c>
      <c r="O3" t="str">
        <f t="shared" ref="O3:O66" si="0">B3&amp;" - "&amp;F3</f>
        <v>Robert Wilson - san antonio, tx</v>
      </c>
      <c r="S3" t="str" cm="1">
        <f t="array" ref="S3:AF98">CLEAN(A1:N96)</f>
        <v>OrderID</v>
      </c>
      <c r="T3" t="str">
        <v>S.N.F</v>
      </c>
      <c r="U3" t="str">
        <v>Clean Name</v>
      </c>
      <c r="V3" t="str">
        <v>CustomerName</v>
      </c>
      <c r="W3" t="str">
        <v>Region</v>
      </c>
      <c r="X3" t="str">
        <v>Location</v>
      </c>
      <c r="Y3" t="str">
        <v>City</v>
      </c>
      <c r="Z3" t="str">
        <v>State</v>
      </c>
      <c r="AA3" t="str">
        <v>Product</v>
      </c>
      <c r="AB3" t="str">
        <v>UnitPrice</v>
      </c>
      <c r="AC3" t="str">
        <v>Quantity</v>
      </c>
      <c r="AD3" t="str">
        <v>TotalSales</v>
      </c>
      <c r="AE3" t="str">
        <v>OrderDate</v>
      </c>
      <c r="AF3" t="str">
        <v>Email</v>
      </c>
    </row>
    <row r="4" spans="1:32" x14ac:dyDescent="0.35">
      <c r="A4">
        <v>2003</v>
      </c>
      <c r="B4" t="str">
        <f>PROPER(C4)</f>
        <v>Michael Jackson</v>
      </c>
      <c r="C4" t="str">
        <f>TRIM(D4)</f>
        <v>MICHAEL jackson</v>
      </c>
      <c r="D4" t="s">
        <v>20</v>
      </c>
      <c r="E4" t="s">
        <v>21</v>
      </c>
      <c r="F4" t="str">
        <f>_xlfn.CONCAT(G4,", ",H4)</f>
        <v>chicago, il</v>
      </c>
      <c r="G4" t="s">
        <v>13</v>
      </c>
      <c r="H4" t="s">
        <v>14</v>
      </c>
      <c r="I4" t="s">
        <v>193</v>
      </c>
      <c r="J4">
        <v>699</v>
      </c>
      <c r="K4">
        <v>2</v>
      </c>
      <c r="L4">
        <v>1398</v>
      </c>
      <c r="M4" s="1">
        <v>8800</v>
      </c>
      <c r="N4" t="s">
        <v>22</v>
      </c>
      <c r="O4" t="str">
        <f t="shared" si="0"/>
        <v>Michael Jackson - chicago, il</v>
      </c>
      <c r="S4" t="str">
        <v>2001</v>
      </c>
      <c r="T4" t="str">
        <v>Patricia Taylor</v>
      </c>
      <c r="U4" t="str">
        <v>patricia TAYLOR</v>
      </c>
      <c r="V4" t="str">
        <v xml:space="preserve"> patricia TAYLOR</v>
      </c>
      <c r="W4" t="str">
        <v>south</v>
      </c>
      <c r="X4" t="str">
        <v>chicago, il</v>
      </c>
      <c r="Y4" t="str">
        <v>chicago</v>
      </c>
      <c r="Z4" t="str">
        <v>il</v>
      </c>
      <c r="AA4" t="str">
        <v xml:space="preserve">Keyboard  </v>
      </c>
      <c r="AB4" t="str">
        <v>89</v>
      </c>
      <c r="AC4" t="str">
        <v>5</v>
      </c>
      <c r="AD4" t="str">
        <v>445</v>
      </c>
      <c r="AE4" t="str">
        <v>8798</v>
      </c>
      <c r="AF4" t="str">
        <v xml:space="preserve"> customer1@company.com </v>
      </c>
    </row>
    <row r="5" spans="1:32" x14ac:dyDescent="0.35">
      <c r="A5">
        <v>2004</v>
      </c>
      <c r="B5" t="str">
        <f>PROPER(C5)</f>
        <v>Michael Thomas</v>
      </c>
      <c r="C5" t="str">
        <f>TRIM(D5)</f>
        <v>MICHAEL THOMAS</v>
      </c>
      <c r="D5" t="s">
        <v>23</v>
      </c>
      <c r="E5" t="s">
        <v>21</v>
      </c>
      <c r="F5" t="str">
        <f>_xlfn.CONCAT(G5,", ",H5)</f>
        <v>san diego, ca</v>
      </c>
      <c r="G5" t="s">
        <v>24</v>
      </c>
      <c r="H5" t="s">
        <v>25</v>
      </c>
      <c r="I5" t="s">
        <v>192</v>
      </c>
      <c r="J5">
        <v>899</v>
      </c>
      <c r="K5">
        <v>5</v>
      </c>
      <c r="L5">
        <v>4495</v>
      </c>
      <c r="M5" s="1">
        <v>8801</v>
      </c>
      <c r="N5" t="s">
        <v>26</v>
      </c>
      <c r="O5" t="str">
        <f t="shared" si="0"/>
        <v>Michael Thomas - san diego, ca</v>
      </c>
      <c r="S5" t="str">
        <v>2002</v>
      </c>
      <c r="T5" t="str">
        <v>Robert Wilson</v>
      </c>
      <c r="U5" t="str">
        <v>robert wilson</v>
      </c>
      <c r="V5" t="str">
        <v xml:space="preserve"> robert  wilson</v>
      </c>
      <c r="W5" t="str">
        <v>south</v>
      </c>
      <c r="X5" t="str">
        <v>san antonio, tx</v>
      </c>
      <c r="Y5" t="str">
        <v>san antonio</v>
      </c>
      <c r="Z5" t="str">
        <v>tx</v>
      </c>
      <c r="AA5" t="str">
        <v xml:space="preserve">Laptop  </v>
      </c>
      <c r="AB5" t="str">
        <v>899</v>
      </c>
      <c r="AC5" t="str">
        <v>3</v>
      </c>
      <c r="AD5" t="str">
        <v>2697</v>
      </c>
      <c r="AE5" t="str">
        <v>8799</v>
      </c>
      <c r="AF5" t="str">
        <v xml:space="preserve"> customer2@company.com </v>
      </c>
    </row>
    <row r="6" spans="1:32" x14ac:dyDescent="0.35">
      <c r="A6">
        <v>2005</v>
      </c>
      <c r="B6" t="str">
        <f>PROPER(C6)</f>
        <v>Robert Johnson</v>
      </c>
      <c r="C6" t="str">
        <f>TRIM(D6)</f>
        <v>robert JOHNSON</v>
      </c>
      <c r="D6" t="s">
        <v>27</v>
      </c>
      <c r="E6" t="s">
        <v>21</v>
      </c>
      <c r="F6" t="str">
        <f>_xlfn.CONCAT(G6,", ",H6)</f>
        <v>houston, tx</v>
      </c>
      <c r="G6" t="s">
        <v>28</v>
      </c>
      <c r="H6" t="s">
        <v>18</v>
      </c>
      <c r="I6" t="s">
        <v>196</v>
      </c>
      <c r="J6">
        <v>89</v>
      </c>
      <c r="K6">
        <v>5</v>
      </c>
      <c r="L6">
        <v>445</v>
      </c>
      <c r="M6" s="1">
        <v>8802</v>
      </c>
      <c r="N6" t="s">
        <v>29</v>
      </c>
      <c r="O6" t="str">
        <f t="shared" si="0"/>
        <v>Robert Johnson - houston, tx</v>
      </c>
      <c r="S6" t="str">
        <v>2003</v>
      </c>
      <c r="T6" t="str">
        <v>Michael Jackson</v>
      </c>
      <c r="U6" t="str">
        <v>MICHAEL jackson</v>
      </c>
      <c r="V6" t="str">
        <v>MICHAEL   jackson</v>
      </c>
      <c r="W6" t="str">
        <v>west</v>
      </c>
      <c r="X6" t="str">
        <v>chicago, il</v>
      </c>
      <c r="Y6" t="str">
        <v>chicago</v>
      </c>
      <c r="Z6" t="str">
        <v>il</v>
      </c>
      <c r="AA6" t="str">
        <v xml:space="preserve">Phone  </v>
      </c>
      <c r="AB6" t="str">
        <v>699</v>
      </c>
      <c r="AC6" t="str">
        <v>2</v>
      </c>
      <c r="AD6" t="str">
        <v>1398</v>
      </c>
      <c r="AE6" t="str">
        <v>8800</v>
      </c>
      <c r="AF6" t="str">
        <v xml:space="preserve"> customer3@company.com </v>
      </c>
    </row>
    <row r="7" spans="1:32" x14ac:dyDescent="0.35">
      <c r="A7">
        <v>2006</v>
      </c>
      <c r="B7" t="str">
        <f>PROPER(C7)</f>
        <v>Mary Wilson</v>
      </c>
      <c r="C7" t="str">
        <f>TRIM(D7)</f>
        <v>MARY wilson</v>
      </c>
      <c r="D7" t="s">
        <v>30</v>
      </c>
      <c r="E7" t="s">
        <v>21</v>
      </c>
      <c r="F7" t="str">
        <f>_xlfn.CONCAT(G7,", ",H7)</f>
        <v>houston, tx</v>
      </c>
      <c r="G7" t="s">
        <v>28</v>
      </c>
      <c r="H7" t="s">
        <v>18</v>
      </c>
      <c r="I7" t="s">
        <v>194</v>
      </c>
      <c r="J7">
        <v>499</v>
      </c>
      <c r="K7">
        <v>5</v>
      </c>
      <c r="L7">
        <v>2495</v>
      </c>
      <c r="M7" s="1">
        <v>8803</v>
      </c>
      <c r="N7" t="s">
        <v>31</v>
      </c>
      <c r="O7" t="str">
        <f t="shared" si="0"/>
        <v>Mary Wilson - houston, tx</v>
      </c>
      <c r="S7" t="str">
        <v>2004</v>
      </c>
      <c r="T7" t="str">
        <v>Michael Thomas</v>
      </c>
      <c r="U7" t="str">
        <v>MICHAEL THOMAS</v>
      </c>
      <c r="V7" t="str">
        <v>MICHAEL  THOMAS</v>
      </c>
      <c r="W7" t="str">
        <v>west</v>
      </c>
      <c r="X7" t="str">
        <v>san diego, ca</v>
      </c>
      <c r="Y7" t="str">
        <v>san diego</v>
      </c>
      <c r="Z7" t="str">
        <v>ca</v>
      </c>
      <c r="AA7" t="str">
        <v xml:space="preserve">Laptop  </v>
      </c>
      <c r="AB7" t="str">
        <v>899</v>
      </c>
      <c r="AC7" t="str">
        <v>5</v>
      </c>
      <c r="AD7" t="str">
        <v>4495</v>
      </c>
      <c r="AE7" t="str">
        <v>8801</v>
      </c>
      <c r="AF7" t="str">
        <v xml:space="preserve"> customer4@company.com </v>
      </c>
    </row>
    <row r="8" spans="1:32" x14ac:dyDescent="0.35">
      <c r="A8">
        <v>2007</v>
      </c>
      <c r="B8" t="str">
        <f>PROPER(C8)</f>
        <v>Michael Taylor</v>
      </c>
      <c r="C8" t="str">
        <f>TRIM(D8)</f>
        <v>MICHAEL TAYLOR</v>
      </c>
      <c r="D8" t="s">
        <v>32</v>
      </c>
      <c r="E8" t="s">
        <v>33</v>
      </c>
      <c r="F8" t="str">
        <f>_xlfn.CONCAT(G8,", ",H8)</f>
        <v>los angeles, ca</v>
      </c>
      <c r="G8" t="s">
        <v>34</v>
      </c>
      <c r="H8" t="s">
        <v>25</v>
      </c>
      <c r="I8" t="s">
        <v>194</v>
      </c>
      <c r="J8">
        <v>499</v>
      </c>
      <c r="K8">
        <v>3</v>
      </c>
      <c r="L8">
        <v>1497</v>
      </c>
      <c r="M8" s="1">
        <v>8804</v>
      </c>
      <c r="N8" t="s">
        <v>35</v>
      </c>
      <c r="O8" t="str">
        <f t="shared" si="0"/>
        <v>Michael Taylor - los angeles, ca</v>
      </c>
      <c r="S8" t="str">
        <v>2005</v>
      </c>
      <c r="T8" t="str">
        <v>Robert Johnson</v>
      </c>
      <c r="U8" t="str">
        <v>robert JOHNSON</v>
      </c>
      <c r="V8" t="str">
        <v xml:space="preserve"> robert  JOHNSON</v>
      </c>
      <c r="W8" t="str">
        <v>west</v>
      </c>
      <c r="X8" t="str">
        <v>houston, tx</v>
      </c>
      <c r="Y8" t="str">
        <v>houston</v>
      </c>
      <c r="Z8" t="str">
        <v>tx</v>
      </c>
      <c r="AA8" t="str">
        <v xml:space="preserve">Keyboard  </v>
      </c>
      <c r="AB8" t="str">
        <v>89</v>
      </c>
      <c r="AC8" t="str">
        <v>5</v>
      </c>
      <c r="AD8" t="str">
        <v>445</v>
      </c>
      <c r="AE8" t="str">
        <v>8802</v>
      </c>
      <c r="AF8" t="str">
        <v xml:space="preserve"> customer5@company.com </v>
      </c>
    </row>
    <row r="9" spans="1:32" x14ac:dyDescent="0.35">
      <c r="A9">
        <v>2008</v>
      </c>
      <c r="B9" t="str">
        <f>PROPER(C9)</f>
        <v>Robert Davis</v>
      </c>
      <c r="C9" t="str">
        <f>TRIM(D9)</f>
        <v>robert DAVIS</v>
      </c>
      <c r="D9" t="s">
        <v>36</v>
      </c>
      <c r="E9" t="s">
        <v>21</v>
      </c>
      <c r="F9" t="str">
        <f>_xlfn.CONCAT(G9,", ",H9)</f>
        <v>chicago, il</v>
      </c>
      <c r="G9" t="s">
        <v>13</v>
      </c>
      <c r="H9" t="s">
        <v>14</v>
      </c>
      <c r="I9" t="s">
        <v>195</v>
      </c>
      <c r="J9">
        <v>299</v>
      </c>
      <c r="K9">
        <v>3</v>
      </c>
      <c r="L9">
        <v>897</v>
      </c>
      <c r="M9" s="1">
        <v>8805</v>
      </c>
      <c r="N9" t="s">
        <v>37</v>
      </c>
      <c r="O9" t="str">
        <f t="shared" si="0"/>
        <v>Robert Davis - chicago, il</v>
      </c>
      <c r="S9" t="str">
        <v>2006</v>
      </c>
      <c r="T9" t="str">
        <v>Mary Wilson</v>
      </c>
      <c r="U9" t="str">
        <v>MARY wilson</v>
      </c>
      <c r="V9" t="str">
        <v>MARY  wilson</v>
      </c>
      <c r="W9" t="str">
        <v>west</v>
      </c>
      <c r="X9" t="str">
        <v>houston, tx</v>
      </c>
      <c r="Y9" t="str">
        <v>houston</v>
      </c>
      <c r="Z9" t="str">
        <v>tx</v>
      </c>
      <c r="AA9" t="str">
        <v xml:space="preserve">Tablet  </v>
      </c>
      <c r="AB9" t="str">
        <v>499</v>
      </c>
      <c r="AC9" t="str">
        <v>5</v>
      </c>
      <c r="AD9" t="str">
        <v>2495</v>
      </c>
      <c r="AE9" t="str">
        <v>8803</v>
      </c>
      <c r="AF9" t="str">
        <v xml:space="preserve"> customer6@company.com </v>
      </c>
    </row>
    <row r="10" spans="1:32" x14ac:dyDescent="0.35">
      <c r="A10">
        <v>2009</v>
      </c>
      <c r="B10" t="str">
        <f>PROPER(C10)</f>
        <v>Elizabeth Brown</v>
      </c>
      <c r="C10" t="str">
        <f>TRIM(D10)</f>
        <v>ELIZABETH brown</v>
      </c>
      <c r="D10" t="s">
        <v>38</v>
      </c>
      <c r="E10" t="s">
        <v>12</v>
      </c>
      <c r="F10" t="str">
        <f>_xlfn.CONCAT(G10,", ",H10)</f>
        <v>chicago, il</v>
      </c>
      <c r="G10" t="s">
        <v>13</v>
      </c>
      <c r="H10" t="s">
        <v>14</v>
      </c>
      <c r="I10" t="s">
        <v>193</v>
      </c>
      <c r="J10">
        <v>699</v>
      </c>
      <c r="K10">
        <v>4</v>
      </c>
      <c r="L10">
        <v>2796</v>
      </c>
      <c r="M10" s="1">
        <v>8806</v>
      </c>
      <c r="N10" t="s">
        <v>39</v>
      </c>
      <c r="O10" t="str">
        <f t="shared" si="0"/>
        <v>Elizabeth Brown - chicago, il</v>
      </c>
      <c r="S10" t="str">
        <v>2007</v>
      </c>
      <c r="T10" t="str">
        <v>Michael Taylor</v>
      </c>
      <c r="U10" t="str">
        <v>MICHAEL TAYLOR</v>
      </c>
      <c r="V10" t="str">
        <v>MICHAEL  TAYLOR</v>
      </c>
      <c r="W10" t="str">
        <v>midwest</v>
      </c>
      <c r="X10" t="str">
        <v>los angeles, ca</v>
      </c>
      <c r="Y10" t="str">
        <v>los angeles</v>
      </c>
      <c r="Z10" t="str">
        <v>ca</v>
      </c>
      <c r="AA10" t="str">
        <v xml:space="preserve">Tablet  </v>
      </c>
      <c r="AB10" t="str">
        <v>499</v>
      </c>
      <c r="AC10" t="str">
        <v>3</v>
      </c>
      <c r="AD10" t="str">
        <v>1497</v>
      </c>
      <c r="AE10" t="str">
        <v>8804</v>
      </c>
      <c r="AF10" t="str">
        <v xml:space="preserve"> customer7@company.com </v>
      </c>
    </row>
    <row r="11" spans="1:32" x14ac:dyDescent="0.35">
      <c r="A11">
        <v>2010</v>
      </c>
      <c r="B11" t="str">
        <f>PROPER(C11)</f>
        <v>Elizabeth Johnson</v>
      </c>
      <c r="C11" t="str">
        <f>TRIM(D11)</f>
        <v>ELIZABETH JOHNSON</v>
      </c>
      <c r="D11" t="s">
        <v>40</v>
      </c>
      <c r="E11" t="s">
        <v>41</v>
      </c>
      <c r="F11" t="str">
        <f>_xlfn.CONCAT(G11,", ",H11)</f>
        <v>los angeles, ca</v>
      </c>
      <c r="G11" t="s">
        <v>34</v>
      </c>
      <c r="H11" t="s">
        <v>25</v>
      </c>
      <c r="I11" t="s">
        <v>192</v>
      </c>
      <c r="J11">
        <v>899</v>
      </c>
      <c r="K11">
        <v>5</v>
      </c>
      <c r="L11">
        <v>4495</v>
      </c>
      <c r="M11" s="1">
        <v>8807</v>
      </c>
      <c r="N11" t="s">
        <v>42</v>
      </c>
      <c r="O11" t="str">
        <f t="shared" si="0"/>
        <v>Elizabeth Johnson - los angeles, ca</v>
      </c>
      <c r="S11" t="str">
        <v>2008</v>
      </c>
      <c r="T11" t="str">
        <v>Robert Davis</v>
      </c>
      <c r="U11" t="str">
        <v>robert DAVIS</v>
      </c>
      <c r="V11" t="str">
        <v xml:space="preserve"> robert  DAVIS </v>
      </c>
      <c r="W11" t="str">
        <v>west</v>
      </c>
      <c r="X11" t="str">
        <v>chicago, il</v>
      </c>
      <c r="Y11" t="str">
        <v>chicago</v>
      </c>
      <c r="Z11" t="str">
        <v>il</v>
      </c>
      <c r="AA11" t="str">
        <v xml:space="preserve">Monitor  </v>
      </c>
      <c r="AB11" t="str">
        <v>299</v>
      </c>
      <c r="AC11" t="str">
        <v>3</v>
      </c>
      <c r="AD11" t="str">
        <v>897</v>
      </c>
      <c r="AE11" t="str">
        <v>8805</v>
      </c>
      <c r="AF11" t="str">
        <v xml:space="preserve"> customer8@company.com </v>
      </c>
    </row>
    <row r="12" spans="1:32" x14ac:dyDescent="0.35">
      <c r="A12">
        <v>2011</v>
      </c>
      <c r="B12" t="str">
        <f>PROPER(C12)</f>
        <v>Robert Wilson</v>
      </c>
      <c r="C12" t="str">
        <f>TRIM(D12)</f>
        <v>robert wilson</v>
      </c>
      <c r="D12" t="s">
        <v>16</v>
      </c>
      <c r="E12" t="s">
        <v>41</v>
      </c>
      <c r="F12" t="str">
        <f>_xlfn.CONCAT(G12,", ",H12)</f>
        <v>houston, tx</v>
      </c>
      <c r="G12" t="s">
        <v>28</v>
      </c>
      <c r="H12" t="s">
        <v>18</v>
      </c>
      <c r="I12" t="s">
        <v>192</v>
      </c>
      <c r="J12">
        <v>899</v>
      </c>
      <c r="K12">
        <v>5</v>
      </c>
      <c r="L12">
        <v>4495</v>
      </c>
      <c r="M12" s="1">
        <v>8808</v>
      </c>
      <c r="N12" t="s">
        <v>43</v>
      </c>
      <c r="O12" t="str">
        <f t="shared" si="0"/>
        <v>Robert Wilson - houston, tx</v>
      </c>
      <c r="S12" t="str">
        <v>2009</v>
      </c>
      <c r="T12" t="str">
        <v>Elizabeth Brown</v>
      </c>
      <c r="U12" t="str">
        <v>ELIZABETH brown</v>
      </c>
      <c r="V12" t="str">
        <v>ELIZABETH   brown</v>
      </c>
      <c r="W12" t="str">
        <v>south</v>
      </c>
      <c r="X12" t="str">
        <v>chicago, il</v>
      </c>
      <c r="Y12" t="str">
        <v>chicago</v>
      </c>
      <c r="Z12" t="str">
        <v>il</v>
      </c>
      <c r="AA12" t="str">
        <v xml:space="preserve">Phone  </v>
      </c>
      <c r="AB12" t="str">
        <v>699</v>
      </c>
      <c r="AC12" t="str">
        <v>4</v>
      </c>
      <c r="AD12" t="str">
        <v>2796</v>
      </c>
      <c r="AE12" t="str">
        <v>8806</v>
      </c>
      <c r="AF12" t="str">
        <v xml:space="preserve"> customer9@company.com </v>
      </c>
    </row>
    <row r="13" spans="1:32" x14ac:dyDescent="0.35">
      <c r="A13">
        <v>2012</v>
      </c>
      <c r="B13" t="str">
        <f>PROPER(C13)</f>
        <v>Elizabeth Moore</v>
      </c>
      <c r="C13" t="str">
        <f>TRIM(D13)</f>
        <v>ELIZABETH moore</v>
      </c>
      <c r="D13" t="s">
        <v>44</v>
      </c>
      <c r="E13" t="s">
        <v>33</v>
      </c>
      <c r="F13" t="str">
        <f>_xlfn.CONCAT(G13,", ",H13)</f>
        <v>houston, tx</v>
      </c>
      <c r="G13" t="s">
        <v>28</v>
      </c>
      <c r="H13" t="s">
        <v>18</v>
      </c>
      <c r="I13" t="s">
        <v>192</v>
      </c>
      <c r="J13">
        <v>899</v>
      </c>
      <c r="K13">
        <v>3</v>
      </c>
      <c r="L13">
        <v>2697</v>
      </c>
      <c r="M13" s="1">
        <v>8809</v>
      </c>
      <c r="N13" t="s">
        <v>45</v>
      </c>
      <c r="O13" t="str">
        <f t="shared" si="0"/>
        <v>Elizabeth Moore - houston, tx</v>
      </c>
      <c r="S13" t="str">
        <v>2010</v>
      </c>
      <c r="T13" t="str">
        <v>Elizabeth Johnson</v>
      </c>
      <c r="U13" t="str">
        <v>ELIZABETH JOHNSON</v>
      </c>
      <c r="V13" t="str">
        <v>ELIZABETH  JOHNSON</v>
      </c>
      <c r="W13" t="str">
        <v>east</v>
      </c>
      <c r="X13" t="str">
        <v>los angeles, ca</v>
      </c>
      <c r="Y13" t="str">
        <v>los angeles</v>
      </c>
      <c r="Z13" t="str">
        <v>ca</v>
      </c>
      <c r="AA13" t="str">
        <v xml:space="preserve">Laptop  </v>
      </c>
      <c r="AB13" t="str">
        <v>899</v>
      </c>
      <c r="AC13" t="str">
        <v>5</v>
      </c>
      <c r="AD13" t="str">
        <v>4495</v>
      </c>
      <c r="AE13" t="str">
        <v>8807</v>
      </c>
      <c r="AF13" t="str">
        <v xml:space="preserve"> customer10@company.com </v>
      </c>
    </row>
    <row r="14" spans="1:32" x14ac:dyDescent="0.35">
      <c r="A14">
        <v>2013</v>
      </c>
      <c r="B14" t="str">
        <f>PROPER(C14)</f>
        <v>Barbara Davis</v>
      </c>
      <c r="C14" t="str">
        <f>TRIM(D14)</f>
        <v>barbara DAVIS</v>
      </c>
      <c r="D14" t="s">
        <v>46</v>
      </c>
      <c r="E14" t="s">
        <v>12</v>
      </c>
      <c r="F14" t="str">
        <f>_xlfn.CONCAT(G14,", ",H14)</f>
        <v>chicago, il</v>
      </c>
      <c r="G14" t="s">
        <v>13</v>
      </c>
      <c r="H14" t="s">
        <v>14</v>
      </c>
      <c r="I14" t="s">
        <v>194</v>
      </c>
      <c r="J14">
        <v>499</v>
      </c>
      <c r="K14">
        <v>4</v>
      </c>
      <c r="L14">
        <v>1996</v>
      </c>
      <c r="M14" s="1">
        <v>8810</v>
      </c>
      <c r="N14" t="s">
        <v>47</v>
      </c>
      <c r="O14" t="str">
        <f t="shared" si="0"/>
        <v>Barbara Davis - chicago, il</v>
      </c>
      <c r="S14" t="str">
        <v>2011</v>
      </c>
      <c r="T14" t="str">
        <v>Robert Wilson</v>
      </c>
      <c r="U14" t="str">
        <v>robert wilson</v>
      </c>
      <c r="V14" t="str">
        <v xml:space="preserve"> robert  wilson</v>
      </c>
      <c r="W14" t="str">
        <v>east</v>
      </c>
      <c r="X14" t="str">
        <v>houston, tx</v>
      </c>
      <c r="Y14" t="str">
        <v>houston</v>
      </c>
      <c r="Z14" t="str">
        <v>tx</v>
      </c>
      <c r="AA14" t="str">
        <v xml:space="preserve">Laptop  </v>
      </c>
      <c r="AB14" t="str">
        <v>899</v>
      </c>
      <c r="AC14" t="str">
        <v>5</v>
      </c>
      <c r="AD14" t="str">
        <v>4495</v>
      </c>
      <c r="AE14" t="str">
        <v>8808</v>
      </c>
      <c r="AF14" t="str">
        <v xml:space="preserve"> customer11@company.com </v>
      </c>
    </row>
    <row r="15" spans="1:32" x14ac:dyDescent="0.35">
      <c r="A15">
        <v>2014</v>
      </c>
      <c r="B15" t="str">
        <f>PROPER(C15)</f>
        <v>Barbara Thomas</v>
      </c>
      <c r="C15" t="str">
        <f>TRIM(D15)</f>
        <v>barbara THOMAS</v>
      </c>
      <c r="D15" t="s">
        <v>48</v>
      </c>
      <c r="E15" t="s">
        <v>33</v>
      </c>
      <c r="F15" t="str">
        <f>_xlfn.CONCAT(G15,", ",H15)</f>
        <v>philadelphia, pa</v>
      </c>
      <c r="G15" t="s">
        <v>49</v>
      </c>
      <c r="H15" t="s">
        <v>50</v>
      </c>
      <c r="I15" t="s">
        <v>194</v>
      </c>
      <c r="J15">
        <v>499</v>
      </c>
      <c r="K15">
        <v>3</v>
      </c>
      <c r="L15">
        <v>1497</v>
      </c>
      <c r="M15" s="1">
        <v>8811</v>
      </c>
      <c r="N15" t="s">
        <v>51</v>
      </c>
      <c r="O15" t="str">
        <f t="shared" si="0"/>
        <v>Barbara Thomas - philadelphia, pa</v>
      </c>
      <c r="S15" t="str">
        <v>2012</v>
      </c>
      <c r="T15" t="str">
        <v>Elizabeth Moore</v>
      </c>
      <c r="U15" t="str">
        <v>ELIZABETH moore</v>
      </c>
      <c r="V15" t="str">
        <v>ELIZABETH   moore</v>
      </c>
      <c r="W15" t="str">
        <v>midwest</v>
      </c>
      <c r="X15" t="str">
        <v>houston, tx</v>
      </c>
      <c r="Y15" t="str">
        <v>houston</v>
      </c>
      <c r="Z15" t="str">
        <v>tx</v>
      </c>
      <c r="AA15" t="str">
        <v xml:space="preserve">Laptop  </v>
      </c>
      <c r="AB15" t="str">
        <v>899</v>
      </c>
      <c r="AC15" t="str">
        <v>3</v>
      </c>
      <c r="AD15" t="str">
        <v>2697</v>
      </c>
      <c r="AE15" t="str">
        <v>8809</v>
      </c>
      <c r="AF15" t="str">
        <v xml:space="preserve"> customer12@company.com </v>
      </c>
    </row>
    <row r="16" spans="1:32" x14ac:dyDescent="0.35">
      <c r="A16">
        <v>2015</v>
      </c>
      <c r="B16" t="str">
        <f>PROPER(C16)</f>
        <v>Patricia Johnson</v>
      </c>
      <c r="C16" t="str">
        <f>TRIM(D16)</f>
        <v>patricia JOHNSON</v>
      </c>
      <c r="D16" t="s">
        <v>52</v>
      </c>
      <c r="E16" t="s">
        <v>41</v>
      </c>
      <c r="F16" t="str">
        <f>_xlfn.CONCAT(G16,", ",H16)</f>
        <v>new york, ny</v>
      </c>
      <c r="G16" t="s">
        <v>53</v>
      </c>
      <c r="H16" t="s">
        <v>54</v>
      </c>
      <c r="I16" t="s">
        <v>195</v>
      </c>
      <c r="J16">
        <v>299</v>
      </c>
      <c r="K16">
        <v>4</v>
      </c>
      <c r="L16">
        <v>1196</v>
      </c>
      <c r="M16" s="1">
        <v>8812</v>
      </c>
      <c r="N16" t="s">
        <v>55</v>
      </c>
      <c r="O16" t="str">
        <f t="shared" si="0"/>
        <v>Patricia Johnson - new york, ny</v>
      </c>
      <c r="S16" t="str">
        <v>2013</v>
      </c>
      <c r="T16" t="str">
        <v>Barbara Davis</v>
      </c>
      <c r="U16" t="str">
        <v>barbara DAVIS</v>
      </c>
      <c r="V16" t="str">
        <v xml:space="preserve">barbara DAVIS </v>
      </c>
      <c r="W16" t="str">
        <v>south</v>
      </c>
      <c r="X16" t="str">
        <v>chicago, il</v>
      </c>
      <c r="Y16" t="str">
        <v>chicago</v>
      </c>
      <c r="Z16" t="str">
        <v>il</v>
      </c>
      <c r="AA16" t="str">
        <v xml:space="preserve">Tablet  </v>
      </c>
      <c r="AB16" t="str">
        <v>499</v>
      </c>
      <c r="AC16" t="str">
        <v>4</v>
      </c>
      <c r="AD16" t="str">
        <v>1996</v>
      </c>
      <c r="AE16" t="str">
        <v>8810</v>
      </c>
      <c r="AF16" t="str">
        <v xml:space="preserve"> customer13@company.com </v>
      </c>
    </row>
    <row r="17" spans="1:32" x14ac:dyDescent="0.35">
      <c r="A17">
        <v>2016</v>
      </c>
      <c r="B17" t="str">
        <f>PROPER(C17)</f>
        <v>Elizabeth Wilson</v>
      </c>
      <c r="C17" t="str">
        <f>TRIM(D17)</f>
        <v>ELIZABETH wilson</v>
      </c>
      <c r="D17" t="s">
        <v>56</v>
      </c>
      <c r="E17" t="s">
        <v>21</v>
      </c>
      <c r="F17" t="str">
        <f>_xlfn.CONCAT(G17,", ",H17)</f>
        <v>phoenix, az</v>
      </c>
      <c r="G17" t="s">
        <v>57</v>
      </c>
      <c r="H17" t="s">
        <v>58</v>
      </c>
      <c r="I17" t="s">
        <v>194</v>
      </c>
      <c r="J17">
        <v>499</v>
      </c>
      <c r="K17">
        <v>4</v>
      </c>
      <c r="L17">
        <v>1996</v>
      </c>
      <c r="M17" s="1">
        <v>8813</v>
      </c>
      <c r="N17" t="s">
        <v>59</v>
      </c>
      <c r="O17" t="str">
        <f t="shared" si="0"/>
        <v>Elizabeth Wilson - phoenix, az</v>
      </c>
      <c r="S17" t="str">
        <v>2014</v>
      </c>
      <c r="T17" t="str">
        <v>Barbara Thomas</v>
      </c>
      <c r="U17" t="str">
        <v>barbara THOMAS</v>
      </c>
      <c r="V17" t="str">
        <v>barbara THOMAS</v>
      </c>
      <c r="W17" t="str">
        <v>midwest</v>
      </c>
      <c r="X17" t="str">
        <v>philadelphia, pa</v>
      </c>
      <c r="Y17" t="str">
        <v>philadelphia</v>
      </c>
      <c r="Z17" t="str">
        <v>pa</v>
      </c>
      <c r="AA17" t="str">
        <v xml:space="preserve">Tablet  </v>
      </c>
      <c r="AB17" t="str">
        <v>499</v>
      </c>
      <c r="AC17" t="str">
        <v>3</v>
      </c>
      <c r="AD17" t="str">
        <v>1497</v>
      </c>
      <c r="AE17" t="str">
        <v>8811</v>
      </c>
      <c r="AF17" t="str">
        <v xml:space="preserve"> customer14@company.com </v>
      </c>
    </row>
    <row r="18" spans="1:32" x14ac:dyDescent="0.35">
      <c r="A18">
        <v>2017</v>
      </c>
      <c r="B18" t="str">
        <f>PROPER(C18)</f>
        <v>Robert Taylor</v>
      </c>
      <c r="C18" t="str">
        <f>TRIM(D18)</f>
        <v>robert TAYLOR</v>
      </c>
      <c r="D18" t="s">
        <v>60</v>
      </c>
      <c r="E18" t="s">
        <v>12</v>
      </c>
      <c r="F18" t="str">
        <f>_xlfn.CONCAT(G18,", ",H18)</f>
        <v>philadelphia, pa</v>
      </c>
      <c r="G18" t="s">
        <v>49</v>
      </c>
      <c r="H18" t="s">
        <v>50</v>
      </c>
      <c r="I18" t="s">
        <v>194</v>
      </c>
      <c r="J18">
        <v>499</v>
      </c>
      <c r="K18">
        <v>4</v>
      </c>
      <c r="L18">
        <v>1996</v>
      </c>
      <c r="M18" s="1">
        <v>8814</v>
      </c>
      <c r="N18" t="s">
        <v>61</v>
      </c>
      <c r="O18" t="str">
        <f t="shared" si="0"/>
        <v>Robert Taylor - philadelphia, pa</v>
      </c>
      <c r="S18" t="str">
        <v>2015</v>
      </c>
      <c r="T18" t="str">
        <v>Patricia Johnson</v>
      </c>
      <c r="U18" t="str">
        <v>patricia JOHNSON</v>
      </c>
      <c r="V18" t="str">
        <v xml:space="preserve"> patricia JOHNSON</v>
      </c>
      <c r="W18" t="str">
        <v>east</v>
      </c>
      <c r="X18" t="str">
        <v>new york, ny</v>
      </c>
      <c r="Y18" t="str">
        <v>new york</v>
      </c>
      <c r="Z18" t="str">
        <v>ny</v>
      </c>
      <c r="AA18" t="str">
        <v xml:space="preserve">Monitor  </v>
      </c>
      <c r="AB18" t="str">
        <v>299</v>
      </c>
      <c r="AC18" t="str">
        <v>4</v>
      </c>
      <c r="AD18" t="str">
        <v>1196</v>
      </c>
      <c r="AE18" t="str">
        <v>8812</v>
      </c>
      <c r="AF18" t="str">
        <v xml:space="preserve"> customer15@company.com </v>
      </c>
    </row>
    <row r="19" spans="1:32" x14ac:dyDescent="0.35">
      <c r="A19">
        <v>2018</v>
      </c>
      <c r="B19" t="str">
        <f>PROPER(C19)</f>
        <v>Michael Moore</v>
      </c>
      <c r="C19" t="str">
        <f>TRIM(D19)</f>
        <v>MICHAEL moore</v>
      </c>
      <c r="D19" t="s">
        <v>62</v>
      </c>
      <c r="E19" t="s">
        <v>12</v>
      </c>
      <c r="F19" t="str">
        <f>_xlfn.CONCAT(G19,", ",H19)</f>
        <v>san diego, ca</v>
      </c>
      <c r="G19" t="s">
        <v>24</v>
      </c>
      <c r="H19" t="s">
        <v>25</v>
      </c>
      <c r="I19" t="s">
        <v>196</v>
      </c>
      <c r="J19">
        <v>89</v>
      </c>
      <c r="K19">
        <v>4</v>
      </c>
      <c r="L19">
        <v>356</v>
      </c>
      <c r="M19" s="1">
        <v>8815</v>
      </c>
      <c r="N19" t="s">
        <v>63</v>
      </c>
      <c r="O19" t="str">
        <f t="shared" si="0"/>
        <v>Michael Moore - san diego, ca</v>
      </c>
      <c r="S19" t="str">
        <v>2016</v>
      </c>
      <c r="T19" t="str">
        <v>Elizabeth Wilson</v>
      </c>
      <c r="U19" t="str">
        <v>ELIZABETH wilson</v>
      </c>
      <c r="V19" t="str">
        <v>ELIZABETH  wilson</v>
      </c>
      <c r="W19" t="str">
        <v>west</v>
      </c>
      <c r="X19" t="str">
        <v>phoenix, az</v>
      </c>
      <c r="Y19" t="str">
        <v>phoenix</v>
      </c>
      <c r="Z19" t="str">
        <v>az</v>
      </c>
      <c r="AA19" t="str">
        <v xml:space="preserve">Tablet  </v>
      </c>
      <c r="AB19" t="str">
        <v>499</v>
      </c>
      <c r="AC19" t="str">
        <v>4</v>
      </c>
      <c r="AD19" t="str">
        <v>1996</v>
      </c>
      <c r="AE19" t="str">
        <v>8813</v>
      </c>
      <c r="AF19" t="str">
        <v xml:space="preserve"> customer16@company.com </v>
      </c>
    </row>
    <row r="20" spans="1:32" x14ac:dyDescent="0.35">
      <c r="A20">
        <v>2019</v>
      </c>
      <c r="B20" t="str">
        <f>PROPER(C20)</f>
        <v>Patricia Moore</v>
      </c>
      <c r="C20" t="str">
        <f>TRIM(D20)</f>
        <v>patricia moore</v>
      </c>
      <c r="D20" t="s">
        <v>64</v>
      </c>
      <c r="E20" t="s">
        <v>12</v>
      </c>
      <c r="F20" t="str">
        <f>_xlfn.CONCAT(G20,", ",H20)</f>
        <v>houston, tx</v>
      </c>
      <c r="G20" t="s">
        <v>28</v>
      </c>
      <c r="H20" t="s">
        <v>18</v>
      </c>
      <c r="I20" t="s">
        <v>195</v>
      </c>
      <c r="J20">
        <v>299</v>
      </c>
      <c r="K20">
        <v>4</v>
      </c>
      <c r="L20">
        <v>1196</v>
      </c>
      <c r="M20" s="1">
        <v>8816</v>
      </c>
      <c r="N20" t="s">
        <v>65</v>
      </c>
      <c r="O20" t="str">
        <f t="shared" si="0"/>
        <v>Patricia Moore - houston, tx</v>
      </c>
      <c r="S20" t="str">
        <v>2017</v>
      </c>
      <c r="T20" t="str">
        <v>Robert Taylor</v>
      </c>
      <c r="U20" t="str">
        <v>robert TAYLOR</v>
      </c>
      <c r="V20" t="str">
        <v xml:space="preserve"> robert  TAYLOR</v>
      </c>
      <c r="W20" t="str">
        <v>south</v>
      </c>
      <c r="X20" t="str">
        <v>philadelphia, pa</v>
      </c>
      <c r="Y20" t="str">
        <v>philadelphia</v>
      </c>
      <c r="Z20" t="str">
        <v>pa</v>
      </c>
      <c r="AA20" t="str">
        <v xml:space="preserve">Tablet  </v>
      </c>
      <c r="AB20" t="str">
        <v>499</v>
      </c>
      <c r="AC20" t="str">
        <v>4</v>
      </c>
      <c r="AD20" t="str">
        <v>1996</v>
      </c>
      <c r="AE20" t="str">
        <v>8814</v>
      </c>
      <c r="AF20" t="str">
        <v xml:space="preserve"> customer17@company.com </v>
      </c>
    </row>
    <row r="21" spans="1:32" x14ac:dyDescent="0.35">
      <c r="A21">
        <v>2020</v>
      </c>
      <c r="B21" t="str">
        <f>PROPER(C21)</f>
        <v>Linda Anderson</v>
      </c>
      <c r="C21" t="str">
        <f>TRIM(D21)</f>
        <v>LINDA Anderson</v>
      </c>
      <c r="D21" t="s">
        <v>66</v>
      </c>
      <c r="E21" t="s">
        <v>33</v>
      </c>
      <c r="F21" t="str">
        <f>_xlfn.CONCAT(G21,", ",H21)</f>
        <v>houston, tx</v>
      </c>
      <c r="G21" t="s">
        <v>28</v>
      </c>
      <c r="H21" t="s">
        <v>18</v>
      </c>
      <c r="I21" t="s">
        <v>193</v>
      </c>
      <c r="J21">
        <v>699</v>
      </c>
      <c r="K21">
        <v>2</v>
      </c>
      <c r="L21">
        <v>1398</v>
      </c>
      <c r="M21" s="1">
        <v>8817</v>
      </c>
      <c r="N21" t="s">
        <v>67</v>
      </c>
      <c r="O21" t="str">
        <f t="shared" si="0"/>
        <v>Linda Anderson - houston, tx</v>
      </c>
      <c r="S21" t="str">
        <v>2018</v>
      </c>
      <c r="T21" t="str">
        <v>Michael Moore</v>
      </c>
      <c r="U21" t="str">
        <v>MICHAEL moore</v>
      </c>
      <c r="V21" t="str">
        <v>MICHAEL   moore</v>
      </c>
      <c r="W21" t="str">
        <v>south</v>
      </c>
      <c r="X21" t="str">
        <v>san diego, ca</v>
      </c>
      <c r="Y21" t="str">
        <v>san diego</v>
      </c>
      <c r="Z21" t="str">
        <v>ca</v>
      </c>
      <c r="AA21" t="str">
        <v xml:space="preserve">Keyboard  </v>
      </c>
      <c r="AB21" t="str">
        <v>89</v>
      </c>
      <c r="AC21" t="str">
        <v>4</v>
      </c>
      <c r="AD21" t="str">
        <v>356</v>
      </c>
      <c r="AE21" t="str">
        <v>8815</v>
      </c>
      <c r="AF21" t="str">
        <v xml:space="preserve"> customer18@company.com </v>
      </c>
    </row>
    <row r="22" spans="1:32" x14ac:dyDescent="0.35">
      <c r="A22">
        <v>2022</v>
      </c>
      <c r="B22" t="str">
        <f>PROPER(C22)</f>
        <v>William Anderson</v>
      </c>
      <c r="C22" t="str">
        <f>TRIM(D22)</f>
        <v>william Anderson</v>
      </c>
      <c r="D22" t="s">
        <v>68</v>
      </c>
      <c r="E22" t="s">
        <v>41</v>
      </c>
      <c r="F22" t="str">
        <f>_xlfn.CONCAT(G22,", ",H22)</f>
        <v>houston, tx</v>
      </c>
      <c r="G22" t="s">
        <v>28</v>
      </c>
      <c r="H22" t="s">
        <v>18</v>
      </c>
      <c r="I22" t="s">
        <v>196</v>
      </c>
      <c r="J22">
        <v>89</v>
      </c>
      <c r="K22">
        <v>5</v>
      </c>
      <c r="L22">
        <v>445</v>
      </c>
      <c r="M22" s="1">
        <v>8819</v>
      </c>
      <c r="N22" t="s">
        <v>69</v>
      </c>
      <c r="O22" t="str">
        <f t="shared" si="0"/>
        <v>William Anderson - houston, tx</v>
      </c>
      <c r="S22" t="str">
        <v>2019</v>
      </c>
      <c r="T22" t="str">
        <v>Patricia Moore</v>
      </c>
      <c r="U22" t="str">
        <v>patricia moore</v>
      </c>
      <c r="V22" t="str">
        <v xml:space="preserve"> patricia  moore</v>
      </c>
      <c r="W22" t="str">
        <v>south</v>
      </c>
      <c r="X22" t="str">
        <v>houston, tx</v>
      </c>
      <c r="Y22" t="str">
        <v>houston</v>
      </c>
      <c r="Z22" t="str">
        <v>tx</v>
      </c>
      <c r="AA22" t="str">
        <v xml:space="preserve">Monitor  </v>
      </c>
      <c r="AB22" t="str">
        <v>299</v>
      </c>
      <c r="AC22" t="str">
        <v>4</v>
      </c>
      <c r="AD22" t="str">
        <v>1196</v>
      </c>
      <c r="AE22" t="str">
        <v>8816</v>
      </c>
      <c r="AF22" t="str">
        <v xml:space="preserve"> customer19@company.com </v>
      </c>
    </row>
    <row r="23" spans="1:32" x14ac:dyDescent="0.35">
      <c r="A23">
        <v>2023</v>
      </c>
      <c r="B23" t="str">
        <f>PROPER(C23)</f>
        <v>Michael Thomas</v>
      </c>
      <c r="C23" t="str">
        <f>TRIM(D23)</f>
        <v>MICHAEL THOMAS</v>
      </c>
      <c r="D23" t="s">
        <v>23</v>
      </c>
      <c r="E23" t="s">
        <v>12</v>
      </c>
      <c r="F23" t="str">
        <f>_xlfn.CONCAT(G23,", ",H23)</f>
        <v>houston, tx</v>
      </c>
      <c r="G23" t="s">
        <v>28</v>
      </c>
      <c r="H23" t="s">
        <v>18</v>
      </c>
      <c r="I23" t="s">
        <v>193</v>
      </c>
      <c r="J23">
        <v>699</v>
      </c>
      <c r="K23">
        <v>2</v>
      </c>
      <c r="L23">
        <v>1398</v>
      </c>
      <c r="M23" s="1">
        <v>8820</v>
      </c>
      <c r="N23" t="s">
        <v>70</v>
      </c>
      <c r="O23" t="str">
        <f t="shared" si="0"/>
        <v>Michael Thomas - houston, tx</v>
      </c>
      <c r="S23" t="str">
        <v>2020</v>
      </c>
      <c r="T23" t="str">
        <v>Linda Anderson</v>
      </c>
      <c r="U23" t="str">
        <v>LINDA Anderson</v>
      </c>
      <c r="V23" t="str">
        <v xml:space="preserve">LINDA Anderson </v>
      </c>
      <c r="W23" t="str">
        <v>midwest</v>
      </c>
      <c r="X23" t="str">
        <v>houston, tx</v>
      </c>
      <c r="Y23" t="str">
        <v>houston</v>
      </c>
      <c r="Z23" t="str">
        <v>tx</v>
      </c>
      <c r="AA23" t="str">
        <v xml:space="preserve">Phone  </v>
      </c>
      <c r="AB23" t="str">
        <v>699</v>
      </c>
      <c r="AC23" t="str">
        <v>2</v>
      </c>
      <c r="AD23" t="str">
        <v>1398</v>
      </c>
      <c r="AE23" t="str">
        <v>8817</v>
      </c>
      <c r="AF23" t="str">
        <v xml:space="preserve"> customer20@company.com </v>
      </c>
    </row>
    <row r="24" spans="1:32" x14ac:dyDescent="0.35">
      <c r="A24">
        <v>2024</v>
      </c>
      <c r="B24" t="str">
        <f>PROPER(C24)</f>
        <v>Barbara Thomas</v>
      </c>
      <c r="C24" t="str">
        <f>TRIM(D24)</f>
        <v>barbara THOMAS</v>
      </c>
      <c r="D24" t="s">
        <v>48</v>
      </c>
      <c r="E24" t="s">
        <v>33</v>
      </c>
      <c r="F24" t="str">
        <f>_xlfn.CONCAT(G24,", ",H24)</f>
        <v>san diego, ca</v>
      </c>
      <c r="G24" t="s">
        <v>24</v>
      </c>
      <c r="H24" t="s">
        <v>25</v>
      </c>
      <c r="I24" t="s">
        <v>192</v>
      </c>
      <c r="J24">
        <v>899</v>
      </c>
      <c r="K24">
        <v>4</v>
      </c>
      <c r="L24">
        <v>3596</v>
      </c>
      <c r="M24" s="1">
        <v>8821</v>
      </c>
      <c r="N24" t="s">
        <v>71</v>
      </c>
      <c r="O24" t="str">
        <f t="shared" si="0"/>
        <v>Barbara Thomas - san diego, ca</v>
      </c>
      <c r="S24" t="str">
        <v>2022</v>
      </c>
      <c r="T24" t="str">
        <v>William Anderson</v>
      </c>
      <c r="U24" t="str">
        <v>william Anderson</v>
      </c>
      <c r="V24" t="str">
        <v xml:space="preserve"> william Anderson </v>
      </c>
      <c r="W24" t="str">
        <v>east</v>
      </c>
      <c r="X24" t="str">
        <v>houston, tx</v>
      </c>
      <c r="Y24" t="str">
        <v>houston</v>
      </c>
      <c r="Z24" t="str">
        <v>tx</v>
      </c>
      <c r="AA24" t="str">
        <v xml:space="preserve">Keyboard  </v>
      </c>
      <c r="AB24" t="str">
        <v>89</v>
      </c>
      <c r="AC24" t="str">
        <v>5</v>
      </c>
      <c r="AD24" t="str">
        <v>445</v>
      </c>
      <c r="AE24" t="str">
        <v>8819</v>
      </c>
      <c r="AF24" t="str">
        <v xml:space="preserve"> customer22@company.com </v>
      </c>
    </row>
    <row r="25" spans="1:32" x14ac:dyDescent="0.35">
      <c r="A25">
        <v>2025</v>
      </c>
      <c r="B25" t="str">
        <f>PROPER(C25)</f>
        <v>Linda Moore</v>
      </c>
      <c r="C25" t="str">
        <f>TRIM(D25)</f>
        <v>LINDA moore</v>
      </c>
      <c r="D25" t="s">
        <v>72</v>
      </c>
      <c r="E25" t="s">
        <v>41</v>
      </c>
      <c r="F25" t="str">
        <f>_xlfn.CONCAT(G25,", ",H25)</f>
        <v>los angeles, ca</v>
      </c>
      <c r="G25" t="s">
        <v>34</v>
      </c>
      <c r="H25" t="s">
        <v>25</v>
      </c>
      <c r="I25" t="s">
        <v>195</v>
      </c>
      <c r="J25">
        <v>299</v>
      </c>
      <c r="K25">
        <v>3</v>
      </c>
      <c r="L25">
        <v>897</v>
      </c>
      <c r="M25" s="1">
        <v>8822</v>
      </c>
      <c r="N25" t="s">
        <v>73</v>
      </c>
      <c r="O25" t="str">
        <f t="shared" si="0"/>
        <v>Linda Moore - los angeles, ca</v>
      </c>
      <c r="S25" t="str">
        <v>2023</v>
      </c>
      <c r="T25" t="str">
        <v>Michael Thomas</v>
      </c>
      <c r="U25" t="str">
        <v>MICHAEL THOMAS</v>
      </c>
      <c r="V25" t="str">
        <v>MICHAEL  THOMAS</v>
      </c>
      <c r="W25" t="str">
        <v>south</v>
      </c>
      <c r="X25" t="str">
        <v>houston, tx</v>
      </c>
      <c r="Y25" t="str">
        <v>houston</v>
      </c>
      <c r="Z25" t="str">
        <v>tx</v>
      </c>
      <c r="AA25" t="str">
        <v xml:space="preserve">Phone  </v>
      </c>
      <c r="AB25" t="str">
        <v>699</v>
      </c>
      <c r="AC25" t="str">
        <v>2</v>
      </c>
      <c r="AD25" t="str">
        <v>1398</v>
      </c>
      <c r="AE25" t="str">
        <v>8820</v>
      </c>
      <c r="AF25" t="str">
        <v xml:space="preserve"> customer23@company.com </v>
      </c>
    </row>
    <row r="26" spans="1:32" x14ac:dyDescent="0.35">
      <c r="A26">
        <v>2026</v>
      </c>
      <c r="B26" t="str">
        <f>PROPER(C26)</f>
        <v>Patricia Taylor</v>
      </c>
      <c r="C26" t="str">
        <f>TRIM(D26)</f>
        <v>patricia TAYLOR</v>
      </c>
      <c r="D26" t="s">
        <v>11</v>
      </c>
      <c r="E26" t="s">
        <v>41</v>
      </c>
      <c r="F26" t="str">
        <f>_xlfn.CONCAT(G26,", ",H26)</f>
        <v>los angeles, ca</v>
      </c>
      <c r="G26" t="s">
        <v>34</v>
      </c>
      <c r="H26" t="s">
        <v>25</v>
      </c>
      <c r="I26" t="s">
        <v>196</v>
      </c>
      <c r="J26">
        <v>89</v>
      </c>
      <c r="K26">
        <v>3</v>
      </c>
      <c r="L26">
        <v>267</v>
      </c>
      <c r="M26" s="1">
        <v>8823</v>
      </c>
      <c r="N26" t="s">
        <v>74</v>
      </c>
      <c r="O26" t="str">
        <f t="shared" si="0"/>
        <v>Patricia Taylor - los angeles, ca</v>
      </c>
      <c r="S26" t="str">
        <v>2024</v>
      </c>
      <c r="T26" t="str">
        <v>Barbara Thomas</v>
      </c>
      <c r="U26" t="str">
        <v>barbara THOMAS</v>
      </c>
      <c r="V26" t="str">
        <v>barbara THOMAS</v>
      </c>
      <c r="W26" t="str">
        <v>midwest</v>
      </c>
      <c r="X26" t="str">
        <v>san diego, ca</v>
      </c>
      <c r="Y26" t="str">
        <v>san diego</v>
      </c>
      <c r="Z26" t="str">
        <v>ca</v>
      </c>
      <c r="AA26" t="str">
        <v xml:space="preserve">Laptop  </v>
      </c>
      <c r="AB26" t="str">
        <v>899</v>
      </c>
      <c r="AC26" t="str">
        <v>4</v>
      </c>
      <c r="AD26" t="str">
        <v>3596</v>
      </c>
      <c r="AE26" t="str">
        <v>8821</v>
      </c>
      <c r="AF26" t="str">
        <v xml:space="preserve"> customer24@company.com </v>
      </c>
    </row>
    <row r="27" spans="1:32" x14ac:dyDescent="0.35">
      <c r="A27">
        <v>2027</v>
      </c>
      <c r="B27" t="str">
        <f>PROPER(C27)</f>
        <v>James Moore</v>
      </c>
      <c r="C27" t="str">
        <f>TRIM(D27)</f>
        <v>James moore</v>
      </c>
      <c r="D27" t="s">
        <v>75</v>
      </c>
      <c r="E27" t="s">
        <v>12</v>
      </c>
      <c r="F27" t="str">
        <f>_xlfn.CONCAT(G27,", ",H27)</f>
        <v>san diego, ca</v>
      </c>
      <c r="G27" t="s">
        <v>24</v>
      </c>
      <c r="H27" t="s">
        <v>25</v>
      </c>
      <c r="I27" t="s">
        <v>192</v>
      </c>
      <c r="J27">
        <v>899</v>
      </c>
      <c r="K27">
        <v>5</v>
      </c>
      <c r="L27">
        <v>4495</v>
      </c>
      <c r="M27" s="1">
        <v>8824</v>
      </c>
      <c r="N27" t="s">
        <v>76</v>
      </c>
      <c r="O27" t="str">
        <f t="shared" si="0"/>
        <v>James Moore - san diego, ca</v>
      </c>
      <c r="S27" t="str">
        <v>2025</v>
      </c>
      <c r="T27" t="str">
        <v>Linda Moore</v>
      </c>
      <c r="U27" t="str">
        <v>LINDA moore</v>
      </c>
      <c r="V27" t="str">
        <v>LINDA  moore</v>
      </c>
      <c r="W27" t="str">
        <v>east</v>
      </c>
      <c r="X27" t="str">
        <v>los angeles, ca</v>
      </c>
      <c r="Y27" t="str">
        <v>los angeles</v>
      </c>
      <c r="Z27" t="str">
        <v>ca</v>
      </c>
      <c r="AA27" t="str">
        <v xml:space="preserve">Monitor  </v>
      </c>
      <c r="AB27" t="str">
        <v>299</v>
      </c>
      <c r="AC27" t="str">
        <v>3</v>
      </c>
      <c r="AD27" t="str">
        <v>897</v>
      </c>
      <c r="AE27" t="str">
        <v>8822</v>
      </c>
      <c r="AF27" t="str">
        <v xml:space="preserve"> customer25@company.com </v>
      </c>
    </row>
    <row r="28" spans="1:32" x14ac:dyDescent="0.35">
      <c r="A28">
        <v>2028</v>
      </c>
      <c r="B28" t="str">
        <f>PROPER(C28)</f>
        <v>Mary Davis</v>
      </c>
      <c r="C28" t="str">
        <f>TRIM(D28)</f>
        <v>MARY DAVIS</v>
      </c>
      <c r="D28" t="s">
        <v>77</v>
      </c>
      <c r="E28" t="s">
        <v>12</v>
      </c>
      <c r="F28" t="str">
        <f>_xlfn.CONCAT(G28,", ",H28)</f>
        <v>los angeles, ca</v>
      </c>
      <c r="G28" t="s">
        <v>34</v>
      </c>
      <c r="H28" t="s">
        <v>25</v>
      </c>
      <c r="I28" t="s">
        <v>194</v>
      </c>
      <c r="J28">
        <v>499</v>
      </c>
      <c r="K28">
        <v>2</v>
      </c>
      <c r="L28">
        <v>998</v>
      </c>
      <c r="M28" s="1">
        <v>8825</v>
      </c>
      <c r="N28" t="s">
        <v>78</v>
      </c>
      <c r="O28" t="str">
        <f t="shared" si="0"/>
        <v>Mary Davis - los angeles, ca</v>
      </c>
      <c r="S28" t="str">
        <v>2026</v>
      </c>
      <c r="T28" t="str">
        <v>Patricia Taylor</v>
      </c>
      <c r="U28" t="str">
        <v>patricia TAYLOR</v>
      </c>
      <c r="V28" t="str">
        <v xml:space="preserve"> patricia TAYLOR</v>
      </c>
      <c r="W28" t="str">
        <v>east</v>
      </c>
      <c r="X28" t="str">
        <v>los angeles, ca</v>
      </c>
      <c r="Y28" t="str">
        <v>los angeles</v>
      </c>
      <c r="Z28" t="str">
        <v>ca</v>
      </c>
      <c r="AA28" t="str">
        <v xml:space="preserve">Keyboard  </v>
      </c>
      <c r="AB28" t="str">
        <v>89</v>
      </c>
      <c r="AC28" t="str">
        <v>3</v>
      </c>
      <c r="AD28" t="str">
        <v>267</v>
      </c>
      <c r="AE28" t="str">
        <v>8823</v>
      </c>
      <c r="AF28" t="str">
        <v xml:space="preserve"> customer26@company.com </v>
      </c>
    </row>
    <row r="29" spans="1:32" x14ac:dyDescent="0.35">
      <c r="A29">
        <v>2029</v>
      </c>
      <c r="B29" t="str">
        <f>PROPER(C29)</f>
        <v>Patricia Jackson</v>
      </c>
      <c r="C29" t="str">
        <f>TRIM(D29)</f>
        <v>patricia jackson</v>
      </c>
      <c r="D29" t="s">
        <v>79</v>
      </c>
      <c r="E29" t="s">
        <v>33</v>
      </c>
      <c r="F29" t="str">
        <f>_xlfn.CONCAT(G29,", ",H29)</f>
        <v>phoenix, az</v>
      </c>
      <c r="G29" t="s">
        <v>57</v>
      </c>
      <c r="H29" t="s">
        <v>58</v>
      </c>
      <c r="I29" t="s">
        <v>193</v>
      </c>
      <c r="J29">
        <v>699</v>
      </c>
      <c r="K29">
        <v>1</v>
      </c>
      <c r="L29">
        <v>699</v>
      </c>
      <c r="M29" s="1">
        <v>8798</v>
      </c>
      <c r="N29" t="s">
        <v>80</v>
      </c>
      <c r="O29" t="str">
        <f t="shared" si="0"/>
        <v>Patricia Jackson - phoenix, az</v>
      </c>
      <c r="S29" t="str">
        <v>2027</v>
      </c>
      <c r="T29" t="str">
        <v>James Moore</v>
      </c>
      <c r="U29" t="str">
        <v>James moore</v>
      </c>
      <c r="V29" t="str">
        <v>James   moore</v>
      </c>
      <c r="W29" t="str">
        <v>south</v>
      </c>
      <c r="X29" t="str">
        <v>san diego, ca</v>
      </c>
      <c r="Y29" t="str">
        <v>san diego</v>
      </c>
      <c r="Z29" t="str">
        <v>ca</v>
      </c>
      <c r="AA29" t="str">
        <v xml:space="preserve">Laptop  </v>
      </c>
      <c r="AB29" t="str">
        <v>899</v>
      </c>
      <c r="AC29" t="str">
        <v>5</v>
      </c>
      <c r="AD29" t="str">
        <v>4495</v>
      </c>
      <c r="AE29" t="str">
        <v>8824</v>
      </c>
      <c r="AF29" t="str">
        <v xml:space="preserve"> customer27@company.com </v>
      </c>
    </row>
    <row r="30" spans="1:32" x14ac:dyDescent="0.35">
      <c r="A30">
        <v>2030</v>
      </c>
      <c r="B30" t="str">
        <f>PROPER(C30)</f>
        <v>Michael Thomas</v>
      </c>
      <c r="C30" t="str">
        <f>TRIM(D30)</f>
        <v>MICHAEL THOMAS</v>
      </c>
      <c r="D30" t="s">
        <v>23</v>
      </c>
      <c r="E30" t="s">
        <v>12</v>
      </c>
      <c r="F30" t="str">
        <f>_xlfn.CONCAT(G30,", ",H30)</f>
        <v>philadelphia, pa</v>
      </c>
      <c r="G30" t="s">
        <v>49</v>
      </c>
      <c r="H30" t="s">
        <v>50</v>
      </c>
      <c r="I30" t="s">
        <v>192</v>
      </c>
      <c r="J30">
        <v>899</v>
      </c>
      <c r="K30">
        <v>2</v>
      </c>
      <c r="L30">
        <v>1798</v>
      </c>
      <c r="M30" s="1">
        <v>8799</v>
      </c>
      <c r="N30" t="s">
        <v>81</v>
      </c>
      <c r="O30" t="str">
        <f t="shared" si="0"/>
        <v>Michael Thomas - philadelphia, pa</v>
      </c>
      <c r="S30" t="str">
        <v>2028</v>
      </c>
      <c r="T30" t="str">
        <v>Mary Davis</v>
      </c>
      <c r="U30" t="str">
        <v>MARY DAVIS</v>
      </c>
      <c r="V30" t="str">
        <v xml:space="preserve">MARY  DAVIS </v>
      </c>
      <c r="W30" t="str">
        <v>south</v>
      </c>
      <c r="X30" t="str">
        <v>los angeles, ca</v>
      </c>
      <c r="Y30" t="str">
        <v>los angeles</v>
      </c>
      <c r="Z30" t="str">
        <v>ca</v>
      </c>
      <c r="AA30" t="str">
        <v xml:space="preserve">Tablet  </v>
      </c>
      <c r="AB30" t="str">
        <v>499</v>
      </c>
      <c r="AC30" t="str">
        <v>2</v>
      </c>
      <c r="AD30" t="str">
        <v>998</v>
      </c>
      <c r="AE30" t="str">
        <v>8825</v>
      </c>
      <c r="AF30" t="str">
        <v xml:space="preserve"> customer28@company.com </v>
      </c>
    </row>
    <row r="31" spans="1:32" x14ac:dyDescent="0.35">
      <c r="A31">
        <v>2031</v>
      </c>
      <c r="B31" t="str">
        <f>PROPER(C31)</f>
        <v>Robert Anderson</v>
      </c>
      <c r="C31" t="str">
        <f>TRIM(D31)</f>
        <v>robert Anderson</v>
      </c>
      <c r="D31" t="s">
        <v>82</v>
      </c>
      <c r="E31" t="s">
        <v>41</v>
      </c>
      <c r="F31" t="str">
        <f>_xlfn.CONCAT(G31,", ",H31)</f>
        <v>chicago, il</v>
      </c>
      <c r="G31" t="s">
        <v>13</v>
      </c>
      <c r="H31" t="s">
        <v>14</v>
      </c>
      <c r="I31" t="s">
        <v>192</v>
      </c>
      <c r="J31">
        <v>899</v>
      </c>
      <c r="K31">
        <v>5</v>
      </c>
      <c r="L31">
        <v>4495</v>
      </c>
      <c r="M31" s="1">
        <v>8800</v>
      </c>
      <c r="N31" t="s">
        <v>83</v>
      </c>
      <c r="O31" t="str">
        <f t="shared" si="0"/>
        <v>Robert Anderson - chicago, il</v>
      </c>
      <c r="S31" t="str">
        <v>2029</v>
      </c>
      <c r="T31" t="str">
        <v>Patricia Jackson</v>
      </c>
      <c r="U31" t="str">
        <v>patricia jackson</v>
      </c>
      <c r="V31" t="str">
        <v xml:space="preserve"> patricia  jackson</v>
      </c>
      <c r="W31" t="str">
        <v>midwest</v>
      </c>
      <c r="X31" t="str">
        <v>phoenix, az</v>
      </c>
      <c r="Y31" t="str">
        <v>phoenix</v>
      </c>
      <c r="Z31" t="str">
        <v>az</v>
      </c>
      <c r="AA31" t="str">
        <v xml:space="preserve">Phone  </v>
      </c>
      <c r="AB31" t="str">
        <v>699</v>
      </c>
      <c r="AC31" t="str">
        <v>1</v>
      </c>
      <c r="AD31" t="str">
        <v>699</v>
      </c>
      <c r="AE31" t="str">
        <v>8798</v>
      </c>
      <c r="AF31" t="str">
        <v xml:space="preserve"> customer29@company.com </v>
      </c>
    </row>
    <row r="32" spans="1:32" x14ac:dyDescent="0.35">
      <c r="A32">
        <v>2032</v>
      </c>
      <c r="B32" t="str">
        <f>PROPER(C32)</f>
        <v>Barbara Taylor</v>
      </c>
      <c r="C32" t="str">
        <f>TRIM(D32)</f>
        <v>barbara TAYLOR</v>
      </c>
      <c r="D32" t="s">
        <v>84</v>
      </c>
      <c r="E32" t="s">
        <v>41</v>
      </c>
      <c r="F32" t="str">
        <f>_xlfn.CONCAT(G32,", ",H32)</f>
        <v>san antonio, tx</v>
      </c>
      <c r="G32" t="s">
        <v>17</v>
      </c>
      <c r="H32" t="s">
        <v>18</v>
      </c>
      <c r="I32" t="s">
        <v>195</v>
      </c>
      <c r="J32">
        <v>299</v>
      </c>
      <c r="K32">
        <v>3</v>
      </c>
      <c r="L32">
        <v>897</v>
      </c>
      <c r="M32" s="1">
        <v>8801</v>
      </c>
      <c r="N32" t="s">
        <v>85</v>
      </c>
      <c r="O32" t="str">
        <f t="shared" si="0"/>
        <v>Barbara Taylor - san antonio, tx</v>
      </c>
      <c r="S32" t="str">
        <v>2030</v>
      </c>
      <c r="T32" t="str">
        <v>Michael Thomas</v>
      </c>
      <c r="U32" t="str">
        <v>MICHAEL THOMAS</v>
      </c>
      <c r="V32" t="str">
        <v>MICHAEL  THOMAS</v>
      </c>
      <c r="W32" t="str">
        <v>south</v>
      </c>
      <c r="X32" t="str">
        <v>philadelphia, pa</v>
      </c>
      <c r="Y32" t="str">
        <v>philadelphia</v>
      </c>
      <c r="Z32" t="str">
        <v>pa</v>
      </c>
      <c r="AA32" t="str">
        <v xml:space="preserve">Laptop  </v>
      </c>
      <c r="AB32" t="str">
        <v>899</v>
      </c>
      <c r="AC32" t="str">
        <v>2</v>
      </c>
      <c r="AD32" t="str">
        <v>1798</v>
      </c>
      <c r="AE32" t="str">
        <v>8799</v>
      </c>
      <c r="AF32" t="str">
        <v xml:space="preserve"> customer30@company.com </v>
      </c>
    </row>
    <row r="33" spans="1:32" x14ac:dyDescent="0.35">
      <c r="A33">
        <v>2033</v>
      </c>
      <c r="B33" t="str">
        <f>PROPER(C33)</f>
        <v>Linda Davis</v>
      </c>
      <c r="C33" t="str">
        <f>TRIM(D33)</f>
        <v>LINDA DAVIS</v>
      </c>
      <c r="D33" t="s">
        <v>86</v>
      </c>
      <c r="E33" t="s">
        <v>21</v>
      </c>
      <c r="F33" t="str">
        <f>_xlfn.CONCAT(G33,", ",H33)</f>
        <v>phoenix, az</v>
      </c>
      <c r="G33" t="s">
        <v>57</v>
      </c>
      <c r="H33" t="s">
        <v>58</v>
      </c>
      <c r="I33" t="s">
        <v>192</v>
      </c>
      <c r="J33">
        <v>899</v>
      </c>
      <c r="K33">
        <v>5</v>
      </c>
      <c r="L33">
        <v>4495</v>
      </c>
      <c r="M33" s="1">
        <v>8802</v>
      </c>
      <c r="N33" t="s">
        <v>87</v>
      </c>
      <c r="O33" t="str">
        <f t="shared" si="0"/>
        <v>Linda Davis - phoenix, az</v>
      </c>
      <c r="S33" t="str">
        <v>2031</v>
      </c>
      <c r="T33" t="str">
        <v>Robert Anderson</v>
      </c>
      <c r="U33" t="str">
        <v>robert Anderson</v>
      </c>
      <c r="V33" t="str">
        <v xml:space="preserve"> robert  Anderson </v>
      </c>
      <c r="W33" t="str">
        <v>east</v>
      </c>
      <c r="X33" t="str">
        <v>chicago, il</v>
      </c>
      <c r="Y33" t="str">
        <v>chicago</v>
      </c>
      <c r="Z33" t="str">
        <v>il</v>
      </c>
      <c r="AA33" t="str">
        <v xml:space="preserve">Laptop  </v>
      </c>
      <c r="AB33" t="str">
        <v>899</v>
      </c>
      <c r="AC33" t="str">
        <v>5</v>
      </c>
      <c r="AD33" t="str">
        <v>4495</v>
      </c>
      <c r="AE33" t="str">
        <v>8800</v>
      </c>
      <c r="AF33" t="str">
        <v xml:space="preserve"> customer31@company.com </v>
      </c>
    </row>
    <row r="34" spans="1:32" x14ac:dyDescent="0.35">
      <c r="A34">
        <v>2034</v>
      </c>
      <c r="B34" t="str">
        <f>PROPER(C34)</f>
        <v>James Jackson</v>
      </c>
      <c r="C34" t="str">
        <f>TRIM(D34)</f>
        <v>James jackson</v>
      </c>
      <c r="D34" t="s">
        <v>88</v>
      </c>
      <c r="E34" t="s">
        <v>41</v>
      </c>
      <c r="F34" t="str">
        <f>_xlfn.CONCAT(G34,", ",H34)</f>
        <v>los angeles, ca</v>
      </c>
      <c r="G34" t="s">
        <v>34</v>
      </c>
      <c r="H34" t="s">
        <v>25</v>
      </c>
      <c r="I34" t="s">
        <v>193</v>
      </c>
      <c r="J34">
        <v>699</v>
      </c>
      <c r="K34">
        <v>1</v>
      </c>
      <c r="L34">
        <v>699</v>
      </c>
      <c r="M34" s="1">
        <v>8803</v>
      </c>
      <c r="N34" t="s">
        <v>89</v>
      </c>
      <c r="O34" t="str">
        <f t="shared" si="0"/>
        <v>James Jackson - los angeles, ca</v>
      </c>
      <c r="S34" t="str">
        <v>2032</v>
      </c>
      <c r="T34" t="str">
        <v>Barbara Taylor</v>
      </c>
      <c r="U34" t="str">
        <v>barbara TAYLOR</v>
      </c>
      <c r="V34" t="str">
        <v>barbara TAYLOR</v>
      </c>
      <c r="W34" t="str">
        <v>east</v>
      </c>
      <c r="X34" t="str">
        <v>san antonio, tx</v>
      </c>
      <c r="Y34" t="str">
        <v>san antonio</v>
      </c>
      <c r="Z34" t="str">
        <v>tx</v>
      </c>
      <c r="AA34" t="str">
        <v xml:space="preserve">Monitor  </v>
      </c>
      <c r="AB34" t="str">
        <v>299</v>
      </c>
      <c r="AC34" t="str">
        <v>3</v>
      </c>
      <c r="AD34" t="str">
        <v>897</v>
      </c>
      <c r="AE34" t="str">
        <v>8801</v>
      </c>
      <c r="AF34" t="str">
        <v xml:space="preserve"> customer32@company.com </v>
      </c>
    </row>
    <row r="35" spans="1:32" x14ac:dyDescent="0.35">
      <c r="A35">
        <v>2035</v>
      </c>
      <c r="B35" t="str">
        <f>PROPER(C35)</f>
        <v>Mary Davis</v>
      </c>
      <c r="C35" t="str">
        <f>TRIM(D35)</f>
        <v>MARY DAVIS</v>
      </c>
      <c r="D35" t="s">
        <v>77</v>
      </c>
      <c r="E35" t="s">
        <v>41</v>
      </c>
      <c r="F35" t="str">
        <f>_xlfn.CONCAT(G35,", ",H35)</f>
        <v>san diego, ca</v>
      </c>
      <c r="G35" t="s">
        <v>24</v>
      </c>
      <c r="H35" t="s">
        <v>25</v>
      </c>
      <c r="I35" t="s">
        <v>196</v>
      </c>
      <c r="J35">
        <v>89</v>
      </c>
      <c r="K35">
        <v>2</v>
      </c>
      <c r="L35">
        <v>178</v>
      </c>
      <c r="M35" s="1">
        <v>8804</v>
      </c>
      <c r="N35" t="s">
        <v>90</v>
      </c>
      <c r="O35" t="str">
        <f t="shared" si="0"/>
        <v>Mary Davis - san diego, ca</v>
      </c>
      <c r="S35" t="str">
        <v>2033</v>
      </c>
      <c r="T35" t="str">
        <v>Linda Davis</v>
      </c>
      <c r="U35" t="str">
        <v>LINDA DAVIS</v>
      </c>
      <c r="V35" t="str">
        <v xml:space="preserve">LINDA DAVIS </v>
      </c>
      <c r="W35" t="str">
        <v>west</v>
      </c>
      <c r="X35" t="str">
        <v>phoenix, az</v>
      </c>
      <c r="Y35" t="str">
        <v>phoenix</v>
      </c>
      <c r="Z35" t="str">
        <v>az</v>
      </c>
      <c r="AA35" t="str">
        <v xml:space="preserve">Laptop  </v>
      </c>
      <c r="AB35" t="str">
        <v>899</v>
      </c>
      <c r="AC35" t="str">
        <v>5</v>
      </c>
      <c r="AD35" t="str">
        <v>4495</v>
      </c>
      <c r="AE35" t="str">
        <v>8802</v>
      </c>
      <c r="AF35" t="str">
        <v xml:space="preserve"> customer33@company.com </v>
      </c>
    </row>
    <row r="36" spans="1:32" x14ac:dyDescent="0.35">
      <c r="A36">
        <v>2036</v>
      </c>
      <c r="B36" t="str">
        <f>PROPER(C36)</f>
        <v>Barbara Johnson</v>
      </c>
      <c r="C36" t="str">
        <f>TRIM(D36)</f>
        <v>barbara JOHNSON</v>
      </c>
      <c r="D36" t="s">
        <v>91</v>
      </c>
      <c r="E36" t="s">
        <v>12</v>
      </c>
      <c r="F36" t="str">
        <f>_xlfn.CONCAT(G36,", ",H36)</f>
        <v>chicago, il</v>
      </c>
      <c r="G36" t="s">
        <v>13</v>
      </c>
      <c r="H36" t="s">
        <v>14</v>
      </c>
      <c r="I36" t="s">
        <v>193</v>
      </c>
      <c r="J36">
        <v>699</v>
      </c>
      <c r="K36">
        <v>5</v>
      </c>
      <c r="L36">
        <v>3495</v>
      </c>
      <c r="M36" s="1">
        <v>8805</v>
      </c>
      <c r="N36" t="s">
        <v>92</v>
      </c>
      <c r="O36" t="str">
        <f>B36&amp;" - "&amp;F36</f>
        <v>Barbara Johnson - chicago, il</v>
      </c>
      <c r="S36" t="str">
        <v>2034</v>
      </c>
      <c r="T36" t="str">
        <v>James Jackson</v>
      </c>
      <c r="U36" t="str">
        <v>James jackson</v>
      </c>
      <c r="V36" t="str">
        <v>James   jackson</v>
      </c>
      <c r="W36" t="str">
        <v>east</v>
      </c>
      <c r="X36" t="str">
        <v>los angeles, ca</v>
      </c>
      <c r="Y36" t="str">
        <v>los angeles</v>
      </c>
      <c r="Z36" t="str">
        <v>ca</v>
      </c>
      <c r="AA36" t="str">
        <v xml:space="preserve">Phone  </v>
      </c>
      <c r="AB36" t="str">
        <v>699</v>
      </c>
      <c r="AC36" t="str">
        <v>1</v>
      </c>
      <c r="AD36" t="str">
        <v>699</v>
      </c>
      <c r="AE36" t="str">
        <v>8803</v>
      </c>
      <c r="AF36" t="str">
        <v xml:space="preserve"> customer34@company.com </v>
      </c>
    </row>
    <row r="37" spans="1:32" x14ac:dyDescent="0.35">
      <c r="A37">
        <v>2037</v>
      </c>
      <c r="B37" t="str">
        <f>PROPER(C37)</f>
        <v>William Taylor</v>
      </c>
      <c r="C37" t="str">
        <f>TRIM(D37)</f>
        <v>william TAYLOR</v>
      </c>
      <c r="D37" t="s">
        <v>93</v>
      </c>
      <c r="E37" t="s">
        <v>41</v>
      </c>
      <c r="F37" t="str">
        <f>_xlfn.CONCAT(G37,", ",H37)</f>
        <v>philadelphia, pa</v>
      </c>
      <c r="G37" t="s">
        <v>49</v>
      </c>
      <c r="H37" t="s">
        <v>50</v>
      </c>
      <c r="I37" t="s">
        <v>196</v>
      </c>
      <c r="J37">
        <v>89</v>
      </c>
      <c r="K37">
        <v>3</v>
      </c>
      <c r="L37">
        <v>267</v>
      </c>
      <c r="M37" s="1">
        <v>8806</v>
      </c>
      <c r="N37" t="s">
        <v>94</v>
      </c>
      <c r="O37" t="str">
        <f t="shared" si="0"/>
        <v>William Taylor - philadelphia, pa</v>
      </c>
      <c r="S37" t="str">
        <v>2035</v>
      </c>
      <c r="T37" t="str">
        <v>Mary Davis</v>
      </c>
      <c r="U37" t="str">
        <v>MARY DAVIS</v>
      </c>
      <c r="V37" t="str">
        <v xml:space="preserve">MARY  DAVIS </v>
      </c>
      <c r="W37" t="str">
        <v>east</v>
      </c>
      <c r="X37" t="str">
        <v>san diego, ca</v>
      </c>
      <c r="Y37" t="str">
        <v>san diego</v>
      </c>
      <c r="Z37" t="str">
        <v>ca</v>
      </c>
      <c r="AA37" t="str">
        <v xml:space="preserve">Keyboard  </v>
      </c>
      <c r="AB37" t="str">
        <v>89</v>
      </c>
      <c r="AC37" t="str">
        <v>2</v>
      </c>
      <c r="AD37" t="str">
        <v>178</v>
      </c>
      <c r="AE37" t="str">
        <v>8804</v>
      </c>
      <c r="AF37" t="str">
        <v xml:space="preserve"> customer35@company.com </v>
      </c>
    </row>
    <row r="38" spans="1:32" x14ac:dyDescent="0.35">
      <c r="A38">
        <v>2038</v>
      </c>
      <c r="B38" t="str">
        <f>PROPER(C38)</f>
        <v>Mary Moore</v>
      </c>
      <c r="C38" t="str">
        <f>TRIM(D38)</f>
        <v>MARY moore</v>
      </c>
      <c r="D38" t="s">
        <v>95</v>
      </c>
      <c r="E38" t="s">
        <v>41</v>
      </c>
      <c r="F38" t="str">
        <f>_xlfn.CONCAT(G38,", ",H38)</f>
        <v>phoenix, az</v>
      </c>
      <c r="G38" t="s">
        <v>57</v>
      </c>
      <c r="H38" t="s">
        <v>58</v>
      </c>
      <c r="I38" t="s">
        <v>193</v>
      </c>
      <c r="J38">
        <v>699</v>
      </c>
      <c r="K38">
        <v>3</v>
      </c>
      <c r="L38">
        <v>2097</v>
      </c>
      <c r="M38" s="1">
        <v>8807</v>
      </c>
      <c r="N38" t="s">
        <v>96</v>
      </c>
      <c r="O38" t="str">
        <f t="shared" si="0"/>
        <v>Mary Moore - phoenix, az</v>
      </c>
      <c r="S38" t="str">
        <v>2036</v>
      </c>
      <c r="T38" t="str">
        <v>Barbara Johnson</v>
      </c>
      <c r="U38" t="str">
        <v>barbara JOHNSON</v>
      </c>
      <c r="V38" t="str">
        <v>barbara JOHNSON</v>
      </c>
      <c r="W38" t="str">
        <v>south</v>
      </c>
      <c r="X38" t="str">
        <v>chicago, il</v>
      </c>
      <c r="Y38" t="str">
        <v>chicago</v>
      </c>
      <c r="Z38" t="str">
        <v>il</v>
      </c>
      <c r="AA38" t="str">
        <v xml:space="preserve">Phone  </v>
      </c>
      <c r="AB38" t="str">
        <v>699</v>
      </c>
      <c r="AC38" t="str">
        <v>5</v>
      </c>
      <c r="AD38" t="str">
        <v>3495</v>
      </c>
      <c r="AE38" t="str">
        <v>8805</v>
      </c>
      <c r="AF38" t="str">
        <v xml:space="preserve"> customer36@company.com </v>
      </c>
    </row>
    <row r="39" spans="1:32" x14ac:dyDescent="0.35">
      <c r="A39">
        <v>2039</v>
      </c>
      <c r="B39" t="str">
        <f>PROPER(C39)</f>
        <v>John Jackson</v>
      </c>
      <c r="C39" t="str">
        <f>TRIM(D39)</f>
        <v>john jackson</v>
      </c>
      <c r="D39" t="s">
        <v>97</v>
      </c>
      <c r="E39" t="s">
        <v>12</v>
      </c>
      <c r="F39" t="str">
        <f>_xlfn.CONCAT(G39,", ",H39)</f>
        <v>phoenix, az</v>
      </c>
      <c r="G39" t="s">
        <v>57</v>
      </c>
      <c r="H39" t="s">
        <v>58</v>
      </c>
      <c r="I39" t="s">
        <v>192</v>
      </c>
      <c r="J39">
        <v>899</v>
      </c>
      <c r="K39">
        <v>1</v>
      </c>
      <c r="L39">
        <v>899</v>
      </c>
      <c r="M39" s="1">
        <v>8808</v>
      </c>
      <c r="N39" t="s">
        <v>98</v>
      </c>
      <c r="O39" t="str">
        <f t="shared" si="0"/>
        <v>John Jackson - phoenix, az</v>
      </c>
      <c r="S39" t="str">
        <v>2037</v>
      </c>
      <c r="T39" t="str">
        <v>William Taylor</v>
      </c>
      <c r="U39" t="str">
        <v>william TAYLOR</v>
      </c>
      <c r="V39" t="str">
        <v xml:space="preserve"> william TAYLOR</v>
      </c>
      <c r="W39" t="str">
        <v>east</v>
      </c>
      <c r="X39" t="str">
        <v>philadelphia, pa</v>
      </c>
      <c r="Y39" t="str">
        <v>philadelphia</v>
      </c>
      <c r="Z39" t="str">
        <v>pa</v>
      </c>
      <c r="AA39" t="str">
        <v xml:space="preserve">Keyboard  </v>
      </c>
      <c r="AB39" t="str">
        <v>89</v>
      </c>
      <c r="AC39" t="str">
        <v>3</v>
      </c>
      <c r="AD39" t="str">
        <v>267</v>
      </c>
      <c r="AE39" t="str">
        <v>8806</v>
      </c>
      <c r="AF39" t="str">
        <v xml:space="preserve"> customer37@company.com </v>
      </c>
    </row>
    <row r="40" spans="1:32" x14ac:dyDescent="0.35">
      <c r="A40">
        <v>2040</v>
      </c>
      <c r="B40" t="str">
        <f>PROPER(C40)</f>
        <v>Michael Moore</v>
      </c>
      <c r="C40" t="str">
        <f>TRIM(D40)</f>
        <v>MICHAEL moore</v>
      </c>
      <c r="D40" t="s">
        <v>62</v>
      </c>
      <c r="E40" t="s">
        <v>41</v>
      </c>
      <c r="F40" t="str">
        <f>_xlfn.CONCAT(G40,", ",H40)</f>
        <v>houston, tx</v>
      </c>
      <c r="G40" t="s">
        <v>28</v>
      </c>
      <c r="H40" t="s">
        <v>18</v>
      </c>
      <c r="I40" t="s">
        <v>196</v>
      </c>
      <c r="J40">
        <v>89</v>
      </c>
      <c r="K40">
        <v>3</v>
      </c>
      <c r="L40">
        <v>267</v>
      </c>
      <c r="M40" s="1">
        <v>8809</v>
      </c>
      <c r="N40" t="s">
        <v>99</v>
      </c>
      <c r="O40" t="str">
        <f t="shared" si="0"/>
        <v>Michael Moore - houston, tx</v>
      </c>
      <c r="S40" t="str">
        <v>2038</v>
      </c>
      <c r="T40" t="str">
        <v>Mary Moore</v>
      </c>
      <c r="U40" t="str">
        <v>MARY moore</v>
      </c>
      <c r="V40" t="str">
        <v>MARY   moore</v>
      </c>
      <c r="W40" t="str">
        <v>east</v>
      </c>
      <c r="X40" t="str">
        <v>phoenix, az</v>
      </c>
      <c r="Y40" t="str">
        <v>phoenix</v>
      </c>
      <c r="Z40" t="str">
        <v>az</v>
      </c>
      <c r="AA40" t="str">
        <v xml:space="preserve">Phone  </v>
      </c>
      <c r="AB40" t="str">
        <v>699</v>
      </c>
      <c r="AC40" t="str">
        <v>3</v>
      </c>
      <c r="AD40" t="str">
        <v>2097</v>
      </c>
      <c r="AE40" t="str">
        <v>8807</v>
      </c>
      <c r="AF40" t="str">
        <v xml:space="preserve"> customer38@company.com </v>
      </c>
    </row>
    <row r="41" spans="1:32" x14ac:dyDescent="0.35">
      <c r="A41">
        <v>2041</v>
      </c>
      <c r="B41" t="str">
        <f>PROPER(C41)</f>
        <v>Linda Wilson</v>
      </c>
      <c r="C41" t="str">
        <f>TRIM(D41)</f>
        <v>LINDA wilson</v>
      </c>
      <c r="D41" t="s">
        <v>100</v>
      </c>
      <c r="E41" t="s">
        <v>21</v>
      </c>
      <c r="F41" t="str">
        <f>_xlfn.CONCAT(G41,", ",H41)</f>
        <v>houston, tx</v>
      </c>
      <c r="G41" t="s">
        <v>28</v>
      </c>
      <c r="H41" t="s">
        <v>18</v>
      </c>
      <c r="I41" t="s">
        <v>196</v>
      </c>
      <c r="J41">
        <v>89</v>
      </c>
      <c r="K41">
        <v>2</v>
      </c>
      <c r="L41">
        <v>178</v>
      </c>
      <c r="M41" s="1">
        <v>8810</v>
      </c>
      <c r="N41" t="s">
        <v>101</v>
      </c>
      <c r="O41" t="str">
        <f t="shared" si="0"/>
        <v>Linda Wilson - houston, tx</v>
      </c>
      <c r="S41" t="str">
        <v>2039</v>
      </c>
      <c r="T41" t="str">
        <v>John Jackson</v>
      </c>
      <c r="U41" t="str">
        <v>john jackson</v>
      </c>
      <c r="V41" t="str">
        <v xml:space="preserve"> john  jackson</v>
      </c>
      <c r="W41" t="str">
        <v>south</v>
      </c>
      <c r="X41" t="str">
        <v>phoenix, az</v>
      </c>
      <c r="Y41" t="str">
        <v>phoenix</v>
      </c>
      <c r="Z41" t="str">
        <v>az</v>
      </c>
      <c r="AA41" t="str">
        <v xml:space="preserve">Laptop  </v>
      </c>
      <c r="AB41" t="str">
        <v>899</v>
      </c>
      <c r="AC41" t="str">
        <v>1</v>
      </c>
      <c r="AD41" t="str">
        <v>899</v>
      </c>
      <c r="AE41" t="str">
        <v>8808</v>
      </c>
      <c r="AF41" t="str">
        <v xml:space="preserve"> customer39@company.com </v>
      </c>
    </row>
    <row r="42" spans="1:32" x14ac:dyDescent="0.35">
      <c r="A42">
        <v>2042</v>
      </c>
      <c r="B42" t="str">
        <f>PROPER(C42)</f>
        <v>Michael Anderson</v>
      </c>
      <c r="C42" t="str">
        <f>TRIM(D42)</f>
        <v>MICHAEL Anderson</v>
      </c>
      <c r="D42" t="s">
        <v>102</v>
      </c>
      <c r="E42" t="s">
        <v>12</v>
      </c>
      <c r="F42" t="str">
        <f>_xlfn.CONCAT(G42,", ",H42)</f>
        <v>los angeles, ca</v>
      </c>
      <c r="G42" t="s">
        <v>34</v>
      </c>
      <c r="H42" t="s">
        <v>25</v>
      </c>
      <c r="I42" t="s">
        <v>196</v>
      </c>
      <c r="J42">
        <v>89</v>
      </c>
      <c r="K42">
        <v>1</v>
      </c>
      <c r="L42">
        <v>89</v>
      </c>
      <c r="M42" s="1">
        <v>8811</v>
      </c>
      <c r="N42" t="s">
        <v>103</v>
      </c>
      <c r="O42" t="str">
        <f t="shared" si="0"/>
        <v>Michael Anderson - los angeles, ca</v>
      </c>
      <c r="S42" t="str">
        <v>2040</v>
      </c>
      <c r="T42" t="str">
        <v>Michael Moore</v>
      </c>
      <c r="U42" t="str">
        <v>MICHAEL moore</v>
      </c>
      <c r="V42" t="str">
        <v>MICHAEL   moore</v>
      </c>
      <c r="W42" t="str">
        <v>east</v>
      </c>
      <c r="X42" t="str">
        <v>houston, tx</v>
      </c>
      <c r="Y42" t="str">
        <v>houston</v>
      </c>
      <c r="Z42" t="str">
        <v>tx</v>
      </c>
      <c r="AA42" t="str">
        <v xml:space="preserve">Keyboard  </v>
      </c>
      <c r="AB42" t="str">
        <v>89</v>
      </c>
      <c r="AC42" t="str">
        <v>3</v>
      </c>
      <c r="AD42" t="str">
        <v>267</v>
      </c>
      <c r="AE42" t="str">
        <v>8809</v>
      </c>
      <c r="AF42" t="str">
        <v xml:space="preserve"> customer40@company.com </v>
      </c>
    </row>
    <row r="43" spans="1:32" x14ac:dyDescent="0.35">
      <c r="A43">
        <v>2043</v>
      </c>
      <c r="B43" t="str">
        <f>PROPER(C43)</f>
        <v>Elizabeth Davis</v>
      </c>
      <c r="C43" t="str">
        <f>TRIM(D43)</f>
        <v>ELIZABETH DAVIS</v>
      </c>
      <c r="D43" t="s">
        <v>104</v>
      </c>
      <c r="E43" t="s">
        <v>41</v>
      </c>
      <c r="F43" t="str">
        <f>_xlfn.CONCAT(G43,", ",H43)</f>
        <v>chicago, il</v>
      </c>
      <c r="G43" t="s">
        <v>13</v>
      </c>
      <c r="H43" t="s">
        <v>14</v>
      </c>
      <c r="I43" t="s">
        <v>192</v>
      </c>
      <c r="J43">
        <v>899</v>
      </c>
      <c r="K43">
        <v>5</v>
      </c>
      <c r="L43">
        <v>4495</v>
      </c>
      <c r="M43" s="1">
        <v>8812</v>
      </c>
      <c r="N43" t="s">
        <v>105</v>
      </c>
      <c r="O43" t="str">
        <f t="shared" si="0"/>
        <v>Elizabeth Davis - chicago, il</v>
      </c>
      <c r="S43" t="str">
        <v>2041</v>
      </c>
      <c r="T43" t="str">
        <v>Linda Wilson</v>
      </c>
      <c r="U43" t="str">
        <v>LINDA wilson</v>
      </c>
      <c r="V43" t="str">
        <v>LINDA wilson</v>
      </c>
      <c r="W43" t="str">
        <v>west</v>
      </c>
      <c r="X43" t="str">
        <v>houston, tx</v>
      </c>
      <c r="Y43" t="str">
        <v>houston</v>
      </c>
      <c r="Z43" t="str">
        <v>tx</v>
      </c>
      <c r="AA43" t="str">
        <v xml:space="preserve">Keyboard  </v>
      </c>
      <c r="AB43" t="str">
        <v>89</v>
      </c>
      <c r="AC43" t="str">
        <v>2</v>
      </c>
      <c r="AD43" t="str">
        <v>178</v>
      </c>
      <c r="AE43" t="str">
        <v>8810</v>
      </c>
      <c r="AF43" t="str">
        <v xml:space="preserve"> customer41@company.com </v>
      </c>
    </row>
    <row r="44" spans="1:32" x14ac:dyDescent="0.35">
      <c r="A44">
        <v>2044</v>
      </c>
      <c r="B44" t="str">
        <f>PROPER(C44)</f>
        <v>James Moore</v>
      </c>
      <c r="C44" t="str">
        <f>TRIM(D44)</f>
        <v>James moore</v>
      </c>
      <c r="D44" t="s">
        <v>75</v>
      </c>
      <c r="E44" t="s">
        <v>12</v>
      </c>
      <c r="F44" t="str">
        <f>_xlfn.CONCAT(G44,", ",H44)</f>
        <v>san antonio, tx</v>
      </c>
      <c r="G44" t="s">
        <v>17</v>
      </c>
      <c r="H44" t="s">
        <v>18</v>
      </c>
      <c r="I44" t="s">
        <v>194</v>
      </c>
      <c r="J44">
        <v>499</v>
      </c>
      <c r="K44">
        <v>4</v>
      </c>
      <c r="L44">
        <v>1996</v>
      </c>
      <c r="M44" s="1">
        <v>8813</v>
      </c>
      <c r="N44" t="s">
        <v>106</v>
      </c>
      <c r="O44" t="str">
        <f t="shared" si="0"/>
        <v>James Moore - san antonio, tx</v>
      </c>
      <c r="S44" t="str">
        <v>2042</v>
      </c>
      <c r="T44" t="str">
        <v>Michael Anderson</v>
      </c>
      <c r="U44" t="str">
        <v>MICHAEL Anderson</v>
      </c>
      <c r="V44" t="str">
        <v xml:space="preserve">MICHAEL  Anderson </v>
      </c>
      <c r="W44" t="str">
        <v>south</v>
      </c>
      <c r="X44" t="str">
        <v>los angeles, ca</v>
      </c>
      <c r="Y44" t="str">
        <v>los angeles</v>
      </c>
      <c r="Z44" t="str">
        <v>ca</v>
      </c>
      <c r="AA44" t="str">
        <v xml:space="preserve">Keyboard  </v>
      </c>
      <c r="AB44" t="str">
        <v>89</v>
      </c>
      <c r="AC44" t="str">
        <v>1</v>
      </c>
      <c r="AD44" t="str">
        <v>89</v>
      </c>
      <c r="AE44" t="str">
        <v>8811</v>
      </c>
      <c r="AF44" t="str">
        <v xml:space="preserve"> customer42@company.com </v>
      </c>
    </row>
    <row r="45" spans="1:32" x14ac:dyDescent="0.35">
      <c r="A45">
        <v>2045</v>
      </c>
      <c r="B45" t="str">
        <f>PROPER(C45)</f>
        <v>Elizabeth Jackson</v>
      </c>
      <c r="C45" t="str">
        <f>TRIM(D45)</f>
        <v>ELIZABETH jackson</v>
      </c>
      <c r="D45" t="s">
        <v>107</v>
      </c>
      <c r="E45" t="s">
        <v>21</v>
      </c>
      <c r="F45" t="str">
        <f>_xlfn.CONCAT(G45,", ",H45)</f>
        <v>phoenix, az</v>
      </c>
      <c r="G45" t="s">
        <v>57</v>
      </c>
      <c r="H45" t="s">
        <v>58</v>
      </c>
      <c r="I45" t="s">
        <v>196</v>
      </c>
      <c r="J45">
        <v>89</v>
      </c>
      <c r="K45">
        <v>3</v>
      </c>
      <c r="L45">
        <v>267</v>
      </c>
      <c r="M45" s="1">
        <v>8814</v>
      </c>
      <c r="N45" t="s">
        <v>108</v>
      </c>
      <c r="O45" t="str">
        <f t="shared" si="0"/>
        <v>Elizabeth Jackson - phoenix, az</v>
      </c>
      <c r="S45" t="str">
        <v>2043</v>
      </c>
      <c r="T45" t="str">
        <v>Elizabeth Davis</v>
      </c>
      <c r="U45" t="str">
        <v>ELIZABETH DAVIS</v>
      </c>
      <c r="V45" t="str">
        <v xml:space="preserve">ELIZABETH  DAVIS </v>
      </c>
      <c r="W45" t="str">
        <v>east</v>
      </c>
      <c r="X45" t="str">
        <v>chicago, il</v>
      </c>
      <c r="Y45" t="str">
        <v>chicago</v>
      </c>
      <c r="Z45" t="str">
        <v>il</v>
      </c>
      <c r="AA45" t="str">
        <v xml:space="preserve">Laptop  </v>
      </c>
      <c r="AB45" t="str">
        <v>899</v>
      </c>
      <c r="AC45" t="str">
        <v>5</v>
      </c>
      <c r="AD45" t="str">
        <v>4495</v>
      </c>
      <c r="AE45" t="str">
        <v>8812</v>
      </c>
      <c r="AF45" t="str">
        <v xml:space="preserve"> customer43@company.com </v>
      </c>
    </row>
    <row r="46" spans="1:32" x14ac:dyDescent="0.35">
      <c r="A46">
        <v>2047</v>
      </c>
      <c r="B46" t="str">
        <f>PROPER(C46)</f>
        <v>Mary Taylor</v>
      </c>
      <c r="C46" t="str">
        <f>TRIM(D46)</f>
        <v>MARY TAYLOR</v>
      </c>
      <c r="D46" t="s">
        <v>109</v>
      </c>
      <c r="E46" t="s">
        <v>41</v>
      </c>
      <c r="F46" t="str">
        <f>_xlfn.CONCAT(G46,", ",H46)</f>
        <v>phoenix, az</v>
      </c>
      <c r="G46" t="s">
        <v>57</v>
      </c>
      <c r="H46" t="s">
        <v>58</v>
      </c>
      <c r="I46" t="s">
        <v>194</v>
      </c>
      <c r="J46">
        <v>499</v>
      </c>
      <c r="K46">
        <v>4</v>
      </c>
      <c r="L46">
        <v>1996</v>
      </c>
      <c r="M46" s="1">
        <v>8816</v>
      </c>
      <c r="N46" t="s">
        <v>110</v>
      </c>
      <c r="O46" t="str">
        <f t="shared" si="0"/>
        <v>Mary Taylor - phoenix, az</v>
      </c>
      <c r="S46" t="str">
        <v>2044</v>
      </c>
      <c r="T46" t="str">
        <v>James Moore</v>
      </c>
      <c r="U46" t="str">
        <v>James moore</v>
      </c>
      <c r="V46" t="str">
        <v>James   moore</v>
      </c>
      <c r="W46" t="str">
        <v>south</v>
      </c>
      <c r="X46" t="str">
        <v>san antonio, tx</v>
      </c>
      <c r="Y46" t="str">
        <v>san antonio</v>
      </c>
      <c r="Z46" t="str">
        <v>tx</v>
      </c>
      <c r="AA46" t="str">
        <v xml:space="preserve">Tablet  </v>
      </c>
      <c r="AB46" t="str">
        <v>499</v>
      </c>
      <c r="AC46" t="str">
        <v>4</v>
      </c>
      <c r="AD46" t="str">
        <v>1996</v>
      </c>
      <c r="AE46" t="str">
        <v>8813</v>
      </c>
      <c r="AF46" t="str">
        <v xml:space="preserve"> customer44@company.com </v>
      </c>
    </row>
    <row r="47" spans="1:32" x14ac:dyDescent="0.35">
      <c r="A47">
        <v>2048</v>
      </c>
      <c r="B47" t="str">
        <f>PROPER(C47)</f>
        <v>Elizabeth Thomas</v>
      </c>
      <c r="C47" t="str">
        <f>TRIM(D47)</f>
        <v>ELIZABETH THOMAS</v>
      </c>
      <c r="D47" t="s">
        <v>111</v>
      </c>
      <c r="E47" t="s">
        <v>33</v>
      </c>
      <c r="F47" t="str">
        <f>_xlfn.CONCAT(G47,", ",H47)</f>
        <v>philadelphia, pa</v>
      </c>
      <c r="G47" t="s">
        <v>49</v>
      </c>
      <c r="H47" t="s">
        <v>50</v>
      </c>
      <c r="I47" t="s">
        <v>196</v>
      </c>
      <c r="J47">
        <v>89</v>
      </c>
      <c r="K47">
        <v>1</v>
      </c>
      <c r="L47">
        <v>89</v>
      </c>
      <c r="M47" s="1">
        <v>8817</v>
      </c>
      <c r="N47" t="s">
        <v>112</v>
      </c>
      <c r="O47" t="str">
        <f t="shared" si="0"/>
        <v>Elizabeth Thomas - philadelphia, pa</v>
      </c>
      <c r="S47" t="str">
        <v>2045</v>
      </c>
      <c r="T47" t="str">
        <v>Elizabeth Jackson</v>
      </c>
      <c r="U47" t="str">
        <v>ELIZABETH jackson</v>
      </c>
      <c r="V47" t="str">
        <v>ELIZABETH   jackson</v>
      </c>
      <c r="W47" t="str">
        <v>west</v>
      </c>
      <c r="X47" t="str">
        <v>phoenix, az</v>
      </c>
      <c r="Y47" t="str">
        <v>phoenix</v>
      </c>
      <c r="Z47" t="str">
        <v>az</v>
      </c>
      <c r="AA47" t="str">
        <v xml:space="preserve">Keyboard  </v>
      </c>
      <c r="AB47" t="str">
        <v>89</v>
      </c>
      <c r="AC47" t="str">
        <v>3</v>
      </c>
      <c r="AD47" t="str">
        <v>267</v>
      </c>
      <c r="AE47" t="str">
        <v>8814</v>
      </c>
      <c r="AF47" t="str">
        <v xml:space="preserve"> customer45@company.com </v>
      </c>
    </row>
    <row r="48" spans="1:32" x14ac:dyDescent="0.35">
      <c r="A48">
        <v>2049</v>
      </c>
      <c r="B48" t="str">
        <f>PROPER(C48)</f>
        <v>Barbara Smith</v>
      </c>
      <c r="C48" t="str">
        <f>TRIM(D48)</f>
        <v>barbara smith</v>
      </c>
      <c r="D48" t="s">
        <v>113</v>
      </c>
      <c r="E48" t="s">
        <v>41</v>
      </c>
      <c r="F48" t="str">
        <f>_xlfn.CONCAT(G48,", ",H48)</f>
        <v>san diego, ca</v>
      </c>
      <c r="G48" t="s">
        <v>24</v>
      </c>
      <c r="H48" t="s">
        <v>25</v>
      </c>
      <c r="I48" t="s">
        <v>195</v>
      </c>
      <c r="J48">
        <v>299</v>
      </c>
      <c r="K48">
        <v>4</v>
      </c>
      <c r="L48">
        <v>1196</v>
      </c>
      <c r="M48" s="1">
        <v>8818</v>
      </c>
      <c r="N48" t="s">
        <v>114</v>
      </c>
      <c r="O48" t="str">
        <f t="shared" si="0"/>
        <v>Barbara Smith - san diego, ca</v>
      </c>
      <c r="S48" t="str">
        <v>2047</v>
      </c>
      <c r="T48" t="str">
        <v>Mary Taylor</v>
      </c>
      <c r="U48" t="str">
        <v>MARY TAYLOR</v>
      </c>
      <c r="V48" t="str">
        <v>MARY  TAYLOR</v>
      </c>
      <c r="W48" t="str">
        <v>east</v>
      </c>
      <c r="X48" t="str">
        <v>phoenix, az</v>
      </c>
      <c r="Y48" t="str">
        <v>phoenix</v>
      </c>
      <c r="Z48" t="str">
        <v>az</v>
      </c>
      <c r="AA48" t="str">
        <v xml:space="preserve">Tablet  </v>
      </c>
      <c r="AB48" t="str">
        <v>499</v>
      </c>
      <c r="AC48" t="str">
        <v>4</v>
      </c>
      <c r="AD48" t="str">
        <v>1996</v>
      </c>
      <c r="AE48" t="str">
        <v>8816</v>
      </c>
      <c r="AF48" t="str">
        <v xml:space="preserve"> customer47@company.com </v>
      </c>
    </row>
    <row r="49" spans="1:32" x14ac:dyDescent="0.35">
      <c r="A49">
        <v>2050</v>
      </c>
      <c r="B49" t="str">
        <f>PROPER(C49)</f>
        <v>Linda Davis</v>
      </c>
      <c r="C49" t="str">
        <f>TRIM(D49)</f>
        <v>LINDA DAVIS</v>
      </c>
      <c r="D49" t="s">
        <v>86</v>
      </c>
      <c r="E49" t="s">
        <v>33</v>
      </c>
      <c r="F49" t="str">
        <f>_xlfn.CONCAT(G49,", ",H49)</f>
        <v>houston, tx</v>
      </c>
      <c r="G49" t="s">
        <v>28</v>
      </c>
      <c r="H49" t="s">
        <v>18</v>
      </c>
      <c r="I49" t="s">
        <v>196</v>
      </c>
      <c r="J49">
        <v>89</v>
      </c>
      <c r="K49">
        <v>4</v>
      </c>
      <c r="L49">
        <v>356</v>
      </c>
      <c r="M49" s="1">
        <v>8819</v>
      </c>
      <c r="N49" t="s">
        <v>115</v>
      </c>
      <c r="O49" t="str">
        <f t="shared" si="0"/>
        <v>Linda Davis - houston, tx</v>
      </c>
      <c r="S49" t="str">
        <v>2048</v>
      </c>
      <c r="T49" t="str">
        <v>Elizabeth Thomas</v>
      </c>
      <c r="U49" t="str">
        <v>ELIZABETH THOMAS</v>
      </c>
      <c r="V49" t="str">
        <v>ELIZABETH  THOMAS</v>
      </c>
      <c r="W49" t="str">
        <v>midwest</v>
      </c>
      <c r="X49" t="str">
        <v>philadelphia, pa</v>
      </c>
      <c r="Y49" t="str">
        <v>philadelphia</v>
      </c>
      <c r="Z49" t="str">
        <v>pa</v>
      </c>
      <c r="AA49" t="str">
        <v xml:space="preserve">Keyboard  </v>
      </c>
      <c r="AB49" t="str">
        <v>89</v>
      </c>
      <c r="AC49" t="str">
        <v>1</v>
      </c>
      <c r="AD49" t="str">
        <v>89</v>
      </c>
      <c r="AE49" t="str">
        <v>8817</v>
      </c>
      <c r="AF49" t="str">
        <v xml:space="preserve"> customer48@company.com </v>
      </c>
    </row>
    <row r="50" spans="1:32" x14ac:dyDescent="0.35">
      <c r="A50">
        <v>2051</v>
      </c>
      <c r="B50" t="str">
        <f>PROPER(C50)</f>
        <v>Robert Brown</v>
      </c>
      <c r="C50" t="str">
        <f>TRIM(D50)</f>
        <v>robert brown</v>
      </c>
      <c r="D50" t="s">
        <v>116</v>
      </c>
      <c r="E50" t="s">
        <v>41</v>
      </c>
      <c r="F50" t="str">
        <f>_xlfn.CONCAT(G50,", ",H50)</f>
        <v>san diego, ca</v>
      </c>
      <c r="G50" t="s">
        <v>24</v>
      </c>
      <c r="H50" t="s">
        <v>25</v>
      </c>
      <c r="I50" t="s">
        <v>195</v>
      </c>
      <c r="J50">
        <v>299</v>
      </c>
      <c r="K50">
        <v>2</v>
      </c>
      <c r="L50">
        <v>598</v>
      </c>
      <c r="M50" s="1">
        <v>8820</v>
      </c>
      <c r="N50" t="s">
        <v>117</v>
      </c>
      <c r="O50" t="str">
        <f t="shared" si="0"/>
        <v>Robert Brown - san diego, ca</v>
      </c>
      <c r="S50" t="str">
        <v>2049</v>
      </c>
      <c r="T50" t="str">
        <v>Barbara Smith</v>
      </c>
      <c r="U50" t="str">
        <v>barbara smith</v>
      </c>
      <c r="V50" t="str">
        <v xml:space="preserve">barbara smith </v>
      </c>
      <c r="W50" t="str">
        <v>east</v>
      </c>
      <c r="X50" t="str">
        <v>san diego, ca</v>
      </c>
      <c r="Y50" t="str">
        <v>san diego</v>
      </c>
      <c r="Z50" t="str">
        <v>ca</v>
      </c>
      <c r="AA50" t="str">
        <v xml:space="preserve">Monitor  </v>
      </c>
      <c r="AB50" t="str">
        <v>299</v>
      </c>
      <c r="AC50" t="str">
        <v>4</v>
      </c>
      <c r="AD50" t="str">
        <v>1196</v>
      </c>
      <c r="AE50" t="str">
        <v>8818</v>
      </c>
      <c r="AF50" t="str">
        <v xml:space="preserve"> customer49@company.com </v>
      </c>
    </row>
    <row r="51" spans="1:32" x14ac:dyDescent="0.35">
      <c r="A51">
        <v>2052</v>
      </c>
      <c r="B51" t="str">
        <f>PROPER(C51)</f>
        <v>James Wilson</v>
      </c>
      <c r="C51" t="str">
        <f>TRIM(D51)</f>
        <v>James wilson</v>
      </c>
      <c r="D51" t="s">
        <v>118</v>
      </c>
      <c r="E51" t="s">
        <v>12</v>
      </c>
      <c r="F51" t="str">
        <f>_xlfn.CONCAT(G51,", ",H51)</f>
        <v>los angeles, ca</v>
      </c>
      <c r="G51" t="s">
        <v>34</v>
      </c>
      <c r="H51" t="s">
        <v>25</v>
      </c>
      <c r="I51" t="s">
        <v>196</v>
      </c>
      <c r="J51">
        <v>89</v>
      </c>
      <c r="K51">
        <v>5</v>
      </c>
      <c r="L51">
        <v>445</v>
      </c>
      <c r="M51" s="1">
        <v>8821</v>
      </c>
      <c r="N51" t="s">
        <v>119</v>
      </c>
      <c r="O51" t="str">
        <f t="shared" si="0"/>
        <v>James Wilson - los angeles, ca</v>
      </c>
      <c r="S51" t="str">
        <v>2050</v>
      </c>
      <c r="T51" t="str">
        <v>Linda Davis</v>
      </c>
      <c r="U51" t="str">
        <v>LINDA DAVIS</v>
      </c>
      <c r="V51" t="str">
        <v xml:space="preserve">LINDA DAVIS </v>
      </c>
      <c r="W51" t="str">
        <v>midwest</v>
      </c>
      <c r="X51" t="str">
        <v>houston, tx</v>
      </c>
      <c r="Y51" t="str">
        <v>houston</v>
      </c>
      <c r="Z51" t="str">
        <v>tx</v>
      </c>
      <c r="AA51" t="str">
        <v xml:space="preserve">Keyboard  </v>
      </c>
      <c r="AB51" t="str">
        <v>89</v>
      </c>
      <c r="AC51" t="str">
        <v>4</v>
      </c>
      <c r="AD51" t="str">
        <v>356</v>
      </c>
      <c r="AE51" t="str">
        <v>8819</v>
      </c>
      <c r="AF51" t="str">
        <v xml:space="preserve"> customer50@company.com </v>
      </c>
    </row>
    <row r="52" spans="1:32" x14ac:dyDescent="0.35">
      <c r="A52">
        <v>2053</v>
      </c>
      <c r="B52" t="str">
        <f>PROPER(C52)</f>
        <v>John Wilson</v>
      </c>
      <c r="C52" t="str">
        <f>TRIM(D52)</f>
        <v>john wilson</v>
      </c>
      <c r="D52" t="s">
        <v>120</v>
      </c>
      <c r="E52" t="s">
        <v>41</v>
      </c>
      <c r="F52" t="str">
        <f>_xlfn.CONCAT(G52,", ",H52)</f>
        <v>chicago, il</v>
      </c>
      <c r="G52" t="s">
        <v>13</v>
      </c>
      <c r="H52" t="s">
        <v>14</v>
      </c>
      <c r="I52" t="s">
        <v>193</v>
      </c>
      <c r="J52">
        <v>699</v>
      </c>
      <c r="K52">
        <v>2</v>
      </c>
      <c r="L52">
        <v>1398</v>
      </c>
      <c r="M52" s="1">
        <v>8822</v>
      </c>
      <c r="N52" t="s">
        <v>121</v>
      </c>
      <c r="O52" t="str">
        <f t="shared" si="0"/>
        <v>John Wilson - chicago, il</v>
      </c>
      <c r="S52" t="str">
        <v>2051</v>
      </c>
      <c r="T52" t="str">
        <v>Robert Brown</v>
      </c>
      <c r="U52" t="str">
        <v>robert brown</v>
      </c>
      <c r="V52" t="str">
        <v xml:space="preserve"> robert   brown</v>
      </c>
      <c r="W52" t="str">
        <v>east</v>
      </c>
      <c r="X52" t="str">
        <v>san diego, ca</v>
      </c>
      <c r="Y52" t="str">
        <v>san diego</v>
      </c>
      <c r="Z52" t="str">
        <v>ca</v>
      </c>
      <c r="AA52" t="str">
        <v xml:space="preserve">Monitor  </v>
      </c>
      <c r="AB52" t="str">
        <v>299</v>
      </c>
      <c r="AC52" t="str">
        <v>2</v>
      </c>
      <c r="AD52" t="str">
        <v>598</v>
      </c>
      <c r="AE52" t="str">
        <v>8820</v>
      </c>
      <c r="AF52" t="str">
        <v xml:space="preserve"> customer51@company.com </v>
      </c>
    </row>
    <row r="53" spans="1:32" x14ac:dyDescent="0.35">
      <c r="A53">
        <v>2054</v>
      </c>
      <c r="B53" t="str">
        <f>PROPER(C53)</f>
        <v>William Wilson</v>
      </c>
      <c r="C53" t="str">
        <f>TRIM(D53)</f>
        <v>william wilson</v>
      </c>
      <c r="D53" t="s">
        <v>122</v>
      </c>
      <c r="E53" t="s">
        <v>12</v>
      </c>
      <c r="F53" t="str">
        <f>_xlfn.CONCAT(G53,", ",H53)</f>
        <v>san diego, ca</v>
      </c>
      <c r="G53" t="s">
        <v>24</v>
      </c>
      <c r="H53" t="s">
        <v>25</v>
      </c>
      <c r="I53" t="s">
        <v>192</v>
      </c>
      <c r="J53">
        <v>899</v>
      </c>
      <c r="K53">
        <v>4</v>
      </c>
      <c r="L53">
        <v>3596</v>
      </c>
      <c r="M53" s="1">
        <v>8823</v>
      </c>
      <c r="N53" t="s">
        <v>123</v>
      </c>
      <c r="O53" t="str">
        <f t="shared" si="0"/>
        <v>William Wilson - san diego, ca</v>
      </c>
      <c r="S53" t="str">
        <v>2052</v>
      </c>
      <c r="T53" t="str">
        <v>James Wilson</v>
      </c>
      <c r="U53" t="str">
        <v>James wilson</v>
      </c>
      <c r="V53" t="str">
        <v>James  wilson</v>
      </c>
      <c r="W53" t="str">
        <v>south</v>
      </c>
      <c r="X53" t="str">
        <v>los angeles, ca</v>
      </c>
      <c r="Y53" t="str">
        <v>los angeles</v>
      </c>
      <c r="Z53" t="str">
        <v>ca</v>
      </c>
      <c r="AA53" t="str">
        <v xml:space="preserve">Keyboard  </v>
      </c>
      <c r="AB53" t="str">
        <v>89</v>
      </c>
      <c r="AC53" t="str">
        <v>5</v>
      </c>
      <c r="AD53" t="str">
        <v>445</v>
      </c>
      <c r="AE53" t="str">
        <v>8821</v>
      </c>
      <c r="AF53" t="str">
        <v xml:space="preserve"> customer52@company.com </v>
      </c>
    </row>
    <row r="54" spans="1:32" x14ac:dyDescent="0.35">
      <c r="A54">
        <v>2055</v>
      </c>
      <c r="B54" t="str">
        <f>PROPER(C54)</f>
        <v>Patricia Wilson</v>
      </c>
      <c r="C54" t="str">
        <f>TRIM(D54)</f>
        <v>patricia wilson</v>
      </c>
      <c r="D54" t="s">
        <v>124</v>
      </c>
      <c r="E54" t="s">
        <v>33</v>
      </c>
      <c r="F54" t="str">
        <f>_xlfn.CONCAT(G54,", ",H54)</f>
        <v>san antonio, tx</v>
      </c>
      <c r="G54" t="s">
        <v>17</v>
      </c>
      <c r="H54" t="s">
        <v>18</v>
      </c>
      <c r="I54" t="s">
        <v>193</v>
      </c>
      <c r="J54">
        <v>699</v>
      </c>
      <c r="K54">
        <v>5</v>
      </c>
      <c r="L54">
        <v>3495</v>
      </c>
      <c r="M54" s="1">
        <v>8824</v>
      </c>
      <c r="N54" t="s">
        <v>125</v>
      </c>
      <c r="O54" t="str">
        <f t="shared" si="0"/>
        <v>Patricia Wilson - san antonio, tx</v>
      </c>
      <c r="S54" t="str">
        <v>2053</v>
      </c>
      <c r="T54" t="str">
        <v>John Wilson</v>
      </c>
      <c r="U54" t="str">
        <v>john wilson</v>
      </c>
      <c r="V54" t="str">
        <v xml:space="preserve"> john wilson</v>
      </c>
      <c r="W54" t="str">
        <v>east</v>
      </c>
      <c r="X54" t="str">
        <v>chicago, il</v>
      </c>
      <c r="Y54" t="str">
        <v>chicago</v>
      </c>
      <c r="Z54" t="str">
        <v>il</v>
      </c>
      <c r="AA54" t="str">
        <v xml:space="preserve">Phone  </v>
      </c>
      <c r="AB54" t="str">
        <v>699</v>
      </c>
      <c r="AC54" t="str">
        <v>2</v>
      </c>
      <c r="AD54" t="str">
        <v>1398</v>
      </c>
      <c r="AE54" t="str">
        <v>8822</v>
      </c>
      <c r="AF54" t="str">
        <v xml:space="preserve"> customer53@company.com </v>
      </c>
    </row>
    <row r="55" spans="1:32" x14ac:dyDescent="0.35">
      <c r="A55">
        <v>2056</v>
      </c>
      <c r="B55" t="str">
        <f>PROPER(C55)</f>
        <v>Linda Johnson</v>
      </c>
      <c r="C55" t="str">
        <f>TRIM(D55)</f>
        <v>LINDA JOHNSON</v>
      </c>
      <c r="D55" t="s">
        <v>126</v>
      </c>
      <c r="E55" t="s">
        <v>33</v>
      </c>
      <c r="F55" t="str">
        <f>_xlfn.CONCAT(G55,", ",H55)</f>
        <v>philadelphia, pa</v>
      </c>
      <c r="G55" t="s">
        <v>49</v>
      </c>
      <c r="H55" t="s">
        <v>50</v>
      </c>
      <c r="I55" t="s">
        <v>196</v>
      </c>
      <c r="J55">
        <v>89</v>
      </c>
      <c r="K55">
        <v>3</v>
      </c>
      <c r="L55">
        <v>267</v>
      </c>
      <c r="M55" s="1">
        <v>8825</v>
      </c>
      <c r="N55" t="s">
        <v>127</v>
      </c>
      <c r="O55" t="str">
        <f t="shared" si="0"/>
        <v>Linda Johnson - philadelphia, pa</v>
      </c>
      <c r="S55" t="str">
        <v>2054</v>
      </c>
      <c r="T55" t="str">
        <v>William Wilson</v>
      </c>
      <c r="U55" t="str">
        <v>william wilson</v>
      </c>
      <c r="V55" t="str">
        <v xml:space="preserve"> william wilson</v>
      </c>
      <c r="W55" t="str">
        <v>south</v>
      </c>
      <c r="X55" t="str">
        <v>san diego, ca</v>
      </c>
      <c r="Y55" t="str">
        <v>san diego</v>
      </c>
      <c r="Z55" t="str">
        <v>ca</v>
      </c>
      <c r="AA55" t="str">
        <v xml:space="preserve">Laptop  </v>
      </c>
      <c r="AB55" t="str">
        <v>899</v>
      </c>
      <c r="AC55" t="str">
        <v>4</v>
      </c>
      <c r="AD55" t="str">
        <v>3596</v>
      </c>
      <c r="AE55" t="str">
        <v>8823</v>
      </c>
      <c r="AF55" t="str">
        <v xml:space="preserve"> customer54@company.com </v>
      </c>
    </row>
    <row r="56" spans="1:32" x14ac:dyDescent="0.35">
      <c r="A56">
        <v>2057</v>
      </c>
      <c r="B56" t="str">
        <f>PROPER(C56)</f>
        <v>John Wilson</v>
      </c>
      <c r="C56" t="str">
        <f>TRIM(D56)</f>
        <v>john wilson</v>
      </c>
      <c r="D56" t="s">
        <v>120</v>
      </c>
      <c r="E56" t="s">
        <v>12</v>
      </c>
      <c r="F56" t="str">
        <f>_xlfn.CONCAT(G56,", ",H56)</f>
        <v>philadelphia, pa</v>
      </c>
      <c r="G56" t="s">
        <v>49</v>
      </c>
      <c r="H56" t="s">
        <v>50</v>
      </c>
      <c r="I56" t="s">
        <v>196</v>
      </c>
      <c r="J56">
        <v>89</v>
      </c>
      <c r="K56">
        <v>3</v>
      </c>
      <c r="L56">
        <v>267</v>
      </c>
      <c r="M56" s="1">
        <v>8798</v>
      </c>
      <c r="N56" t="s">
        <v>128</v>
      </c>
      <c r="O56" t="str">
        <f t="shared" si="0"/>
        <v>John Wilson - philadelphia, pa</v>
      </c>
      <c r="S56" t="str">
        <v>2055</v>
      </c>
      <c r="T56" t="str">
        <v>Patricia Wilson</v>
      </c>
      <c r="U56" t="str">
        <v>patricia wilson</v>
      </c>
      <c r="V56" t="str">
        <v xml:space="preserve"> patricia wilson</v>
      </c>
      <c r="W56" t="str">
        <v>midwest</v>
      </c>
      <c r="X56" t="str">
        <v>san antonio, tx</v>
      </c>
      <c r="Y56" t="str">
        <v>san antonio</v>
      </c>
      <c r="Z56" t="str">
        <v>tx</v>
      </c>
      <c r="AA56" t="str">
        <v xml:space="preserve">Phone  </v>
      </c>
      <c r="AB56" t="str">
        <v>699</v>
      </c>
      <c r="AC56" t="str">
        <v>5</v>
      </c>
      <c r="AD56" t="str">
        <v>3495</v>
      </c>
      <c r="AE56" t="str">
        <v>8824</v>
      </c>
      <c r="AF56" t="str">
        <v xml:space="preserve"> customer55@company.com </v>
      </c>
    </row>
    <row r="57" spans="1:32" x14ac:dyDescent="0.35">
      <c r="A57">
        <v>2058</v>
      </c>
      <c r="B57" t="str">
        <f>PROPER(C57)</f>
        <v>Linda Brown</v>
      </c>
      <c r="C57" t="str">
        <f>TRIM(D57)</f>
        <v>LINDA brown</v>
      </c>
      <c r="D57" t="s">
        <v>129</v>
      </c>
      <c r="E57" t="s">
        <v>21</v>
      </c>
      <c r="F57" t="str">
        <f>_xlfn.CONCAT(G57,", ",H57)</f>
        <v>houston, tx</v>
      </c>
      <c r="G57" t="s">
        <v>28</v>
      </c>
      <c r="H57" t="s">
        <v>18</v>
      </c>
      <c r="I57" t="s">
        <v>194</v>
      </c>
      <c r="J57">
        <v>499</v>
      </c>
      <c r="K57">
        <v>3</v>
      </c>
      <c r="L57">
        <v>1497</v>
      </c>
      <c r="M57" s="1">
        <v>8799</v>
      </c>
      <c r="N57" t="s">
        <v>130</v>
      </c>
      <c r="O57" t="str">
        <f t="shared" si="0"/>
        <v>Linda Brown - houston, tx</v>
      </c>
      <c r="S57" t="str">
        <v>2056</v>
      </c>
      <c r="T57" t="str">
        <v>Linda Johnson</v>
      </c>
      <c r="U57" t="str">
        <v>LINDA JOHNSON</v>
      </c>
      <c r="V57" t="str">
        <v>LINDA JOHNSON</v>
      </c>
      <c r="W57" t="str">
        <v>midwest</v>
      </c>
      <c r="X57" t="str">
        <v>philadelphia, pa</v>
      </c>
      <c r="Y57" t="str">
        <v>philadelphia</v>
      </c>
      <c r="Z57" t="str">
        <v>pa</v>
      </c>
      <c r="AA57" t="str">
        <v xml:space="preserve">Keyboard  </v>
      </c>
      <c r="AB57" t="str">
        <v>89</v>
      </c>
      <c r="AC57" t="str">
        <v>3</v>
      </c>
      <c r="AD57" t="str">
        <v>267</v>
      </c>
      <c r="AE57" t="str">
        <v>8825</v>
      </c>
      <c r="AF57" t="str">
        <v xml:space="preserve"> customer56@company.com </v>
      </c>
    </row>
    <row r="58" spans="1:32" x14ac:dyDescent="0.35">
      <c r="A58">
        <v>2059</v>
      </c>
      <c r="B58" t="str">
        <f>PROPER(C58)</f>
        <v>Michael Moore</v>
      </c>
      <c r="C58" t="str">
        <f>TRIM(D58)</f>
        <v>MICHAEL moore</v>
      </c>
      <c r="D58" t="s">
        <v>62</v>
      </c>
      <c r="E58" t="s">
        <v>12</v>
      </c>
      <c r="F58" t="str">
        <f>_xlfn.CONCAT(G58,", ",H58)</f>
        <v>san diego, ca</v>
      </c>
      <c r="G58" t="s">
        <v>24</v>
      </c>
      <c r="H58" t="s">
        <v>25</v>
      </c>
      <c r="I58" t="s">
        <v>194</v>
      </c>
      <c r="J58">
        <v>499</v>
      </c>
      <c r="K58">
        <v>1</v>
      </c>
      <c r="L58">
        <v>499</v>
      </c>
      <c r="M58" s="1">
        <v>8800</v>
      </c>
      <c r="N58" t="s">
        <v>131</v>
      </c>
      <c r="O58" t="str">
        <f t="shared" si="0"/>
        <v>Michael Moore - san diego, ca</v>
      </c>
      <c r="S58" t="str">
        <v>2057</v>
      </c>
      <c r="T58" t="str">
        <v>John Wilson</v>
      </c>
      <c r="U58" t="str">
        <v>john wilson</v>
      </c>
      <c r="V58" t="str">
        <v xml:space="preserve"> john wilson</v>
      </c>
      <c r="W58" t="str">
        <v>south</v>
      </c>
      <c r="X58" t="str">
        <v>philadelphia, pa</v>
      </c>
      <c r="Y58" t="str">
        <v>philadelphia</v>
      </c>
      <c r="Z58" t="str">
        <v>pa</v>
      </c>
      <c r="AA58" t="str">
        <v xml:space="preserve">Keyboard  </v>
      </c>
      <c r="AB58" t="str">
        <v>89</v>
      </c>
      <c r="AC58" t="str">
        <v>3</v>
      </c>
      <c r="AD58" t="str">
        <v>267</v>
      </c>
      <c r="AE58" t="str">
        <v>8798</v>
      </c>
      <c r="AF58" t="str">
        <v xml:space="preserve"> customer57@company.com </v>
      </c>
    </row>
    <row r="59" spans="1:32" x14ac:dyDescent="0.35">
      <c r="A59">
        <v>2061</v>
      </c>
      <c r="B59" t="str">
        <f>PROPER(C59)</f>
        <v>Barbara Thomas</v>
      </c>
      <c r="C59" t="str">
        <f>TRIM(D59)</f>
        <v>barbara THOMAS</v>
      </c>
      <c r="D59" t="s">
        <v>48</v>
      </c>
      <c r="E59" t="s">
        <v>33</v>
      </c>
      <c r="F59" t="str">
        <f>_xlfn.CONCAT(G59,", ",H59)</f>
        <v>phoenix, az</v>
      </c>
      <c r="G59" t="s">
        <v>57</v>
      </c>
      <c r="H59" t="s">
        <v>58</v>
      </c>
      <c r="I59" t="s">
        <v>196</v>
      </c>
      <c r="J59">
        <v>89</v>
      </c>
      <c r="K59">
        <v>2</v>
      </c>
      <c r="L59">
        <v>178</v>
      </c>
      <c r="M59" s="1">
        <v>8802</v>
      </c>
      <c r="N59" t="s">
        <v>132</v>
      </c>
      <c r="O59" t="str">
        <f t="shared" si="0"/>
        <v>Barbara Thomas - phoenix, az</v>
      </c>
      <c r="S59" t="str">
        <v>2058</v>
      </c>
      <c r="T59" t="str">
        <v>Linda Brown</v>
      </c>
      <c r="U59" t="str">
        <v>LINDA brown</v>
      </c>
      <c r="V59" t="str">
        <v>LINDA  brown</v>
      </c>
      <c r="W59" t="str">
        <v>west</v>
      </c>
      <c r="X59" t="str">
        <v>houston, tx</v>
      </c>
      <c r="Y59" t="str">
        <v>houston</v>
      </c>
      <c r="Z59" t="str">
        <v>tx</v>
      </c>
      <c r="AA59" t="str">
        <v xml:space="preserve">Tablet  </v>
      </c>
      <c r="AB59" t="str">
        <v>499</v>
      </c>
      <c r="AC59" t="str">
        <v>3</v>
      </c>
      <c r="AD59" t="str">
        <v>1497</v>
      </c>
      <c r="AE59" t="str">
        <v>8799</v>
      </c>
      <c r="AF59" t="str">
        <v xml:space="preserve"> customer58@company.com </v>
      </c>
    </row>
    <row r="60" spans="1:32" x14ac:dyDescent="0.35">
      <c r="A60">
        <v>2062</v>
      </c>
      <c r="B60" t="str">
        <f>PROPER(C60)</f>
        <v>Robert Moore</v>
      </c>
      <c r="C60" t="str">
        <f>TRIM(D60)</f>
        <v>robert moore</v>
      </c>
      <c r="D60" t="s">
        <v>133</v>
      </c>
      <c r="E60" t="s">
        <v>41</v>
      </c>
      <c r="F60" t="str">
        <f>_xlfn.CONCAT(G60,", ",H60)</f>
        <v>houston, tx</v>
      </c>
      <c r="G60" t="s">
        <v>28</v>
      </c>
      <c r="H60" t="s">
        <v>18</v>
      </c>
      <c r="I60" t="s">
        <v>195</v>
      </c>
      <c r="J60">
        <v>299</v>
      </c>
      <c r="K60">
        <v>5</v>
      </c>
      <c r="L60">
        <v>1495</v>
      </c>
      <c r="M60" s="1">
        <v>8803</v>
      </c>
      <c r="N60" t="s">
        <v>134</v>
      </c>
      <c r="O60" t="str">
        <f t="shared" si="0"/>
        <v>Robert Moore - houston, tx</v>
      </c>
      <c r="S60" t="str">
        <v>2059</v>
      </c>
      <c r="T60" t="str">
        <v>Michael Moore</v>
      </c>
      <c r="U60" t="str">
        <v>MICHAEL moore</v>
      </c>
      <c r="V60" t="str">
        <v>MICHAEL   moore</v>
      </c>
      <c r="W60" t="str">
        <v>south</v>
      </c>
      <c r="X60" t="str">
        <v>san diego, ca</v>
      </c>
      <c r="Y60" t="str">
        <v>san diego</v>
      </c>
      <c r="Z60" t="str">
        <v>ca</v>
      </c>
      <c r="AA60" t="str">
        <v xml:space="preserve">Tablet  </v>
      </c>
      <c r="AB60" t="str">
        <v>499</v>
      </c>
      <c r="AC60" t="str">
        <v>1</v>
      </c>
      <c r="AD60" t="str">
        <v>499</v>
      </c>
      <c r="AE60" t="str">
        <v>8800</v>
      </c>
      <c r="AF60" t="str">
        <v xml:space="preserve"> customer59@company.com </v>
      </c>
    </row>
    <row r="61" spans="1:32" x14ac:dyDescent="0.35">
      <c r="A61">
        <v>2063</v>
      </c>
      <c r="B61" t="str">
        <f>PROPER(C61)</f>
        <v>James Smith</v>
      </c>
      <c r="C61" t="str">
        <f>TRIM(D61)</f>
        <v>James smith</v>
      </c>
      <c r="D61" t="s">
        <v>135</v>
      </c>
      <c r="E61" t="s">
        <v>41</v>
      </c>
      <c r="F61" t="str">
        <f>_xlfn.CONCAT(G61,", ",H61)</f>
        <v>philadelphia, pa</v>
      </c>
      <c r="G61" t="s">
        <v>49</v>
      </c>
      <c r="H61" t="s">
        <v>50</v>
      </c>
      <c r="I61" t="s">
        <v>193</v>
      </c>
      <c r="J61">
        <v>699</v>
      </c>
      <c r="K61">
        <v>5</v>
      </c>
      <c r="L61">
        <v>3495</v>
      </c>
      <c r="M61" s="1">
        <v>8804</v>
      </c>
      <c r="N61" t="s">
        <v>136</v>
      </c>
      <c r="O61" t="str">
        <f t="shared" si="0"/>
        <v>James Smith - philadelphia, pa</v>
      </c>
      <c r="S61" t="str">
        <v>2061</v>
      </c>
      <c r="T61" t="str">
        <v>Barbara Thomas</v>
      </c>
      <c r="U61" t="str">
        <v>barbara THOMAS</v>
      </c>
      <c r="V61" t="str">
        <v>barbara THOMAS</v>
      </c>
      <c r="W61" t="str">
        <v>midwest</v>
      </c>
      <c r="X61" t="str">
        <v>phoenix, az</v>
      </c>
      <c r="Y61" t="str">
        <v>phoenix</v>
      </c>
      <c r="Z61" t="str">
        <v>az</v>
      </c>
      <c r="AA61" t="str">
        <v xml:space="preserve">Keyboard  </v>
      </c>
      <c r="AB61" t="str">
        <v>89</v>
      </c>
      <c r="AC61" t="str">
        <v>2</v>
      </c>
      <c r="AD61" t="str">
        <v>178</v>
      </c>
      <c r="AE61" t="str">
        <v>8802</v>
      </c>
      <c r="AF61" t="str">
        <v xml:space="preserve"> customer61@company.com </v>
      </c>
    </row>
    <row r="62" spans="1:32" x14ac:dyDescent="0.35">
      <c r="A62">
        <v>2064</v>
      </c>
      <c r="B62" t="str">
        <f>PROPER(C62)</f>
        <v>John Moore</v>
      </c>
      <c r="C62" t="str">
        <f>TRIM(D62)</f>
        <v>john moore</v>
      </c>
      <c r="D62" t="s">
        <v>137</v>
      </c>
      <c r="E62" t="s">
        <v>41</v>
      </c>
      <c r="F62" t="str">
        <f>_xlfn.CONCAT(G62,", ",H62)</f>
        <v>houston, tx</v>
      </c>
      <c r="G62" t="s">
        <v>28</v>
      </c>
      <c r="H62" t="s">
        <v>18</v>
      </c>
      <c r="I62" t="s">
        <v>194</v>
      </c>
      <c r="J62">
        <v>499</v>
      </c>
      <c r="K62">
        <v>5</v>
      </c>
      <c r="L62">
        <v>2495</v>
      </c>
      <c r="M62" s="1">
        <v>8805</v>
      </c>
      <c r="N62" t="s">
        <v>138</v>
      </c>
      <c r="O62" t="str">
        <f t="shared" si="0"/>
        <v>John Moore - houston, tx</v>
      </c>
      <c r="S62" t="str">
        <v>2062</v>
      </c>
      <c r="T62" t="str">
        <v>Robert Moore</v>
      </c>
      <c r="U62" t="str">
        <v>robert moore</v>
      </c>
      <c r="V62" t="str">
        <v xml:space="preserve"> robert   moore</v>
      </c>
      <c r="W62" t="str">
        <v>east</v>
      </c>
      <c r="X62" t="str">
        <v>houston, tx</v>
      </c>
      <c r="Y62" t="str">
        <v>houston</v>
      </c>
      <c r="Z62" t="str">
        <v>tx</v>
      </c>
      <c r="AA62" t="str">
        <v xml:space="preserve">Monitor  </v>
      </c>
      <c r="AB62" t="str">
        <v>299</v>
      </c>
      <c r="AC62" t="str">
        <v>5</v>
      </c>
      <c r="AD62" t="str">
        <v>1495</v>
      </c>
      <c r="AE62" t="str">
        <v>8803</v>
      </c>
      <c r="AF62" t="str">
        <v xml:space="preserve"> customer62@company.com </v>
      </c>
    </row>
    <row r="63" spans="1:32" x14ac:dyDescent="0.35">
      <c r="A63">
        <v>2065</v>
      </c>
      <c r="B63" t="str">
        <f>PROPER(C63)</f>
        <v>Michael Taylor</v>
      </c>
      <c r="C63" t="str">
        <f>TRIM(D63)</f>
        <v>MICHAEL TAYLOR</v>
      </c>
      <c r="D63" t="s">
        <v>32</v>
      </c>
      <c r="E63" t="s">
        <v>21</v>
      </c>
      <c r="F63" t="str">
        <f>_xlfn.CONCAT(G63,", ",H63)</f>
        <v>los angeles, ca</v>
      </c>
      <c r="G63" t="s">
        <v>34</v>
      </c>
      <c r="H63" t="s">
        <v>25</v>
      </c>
      <c r="I63" t="s">
        <v>193</v>
      </c>
      <c r="J63">
        <v>699</v>
      </c>
      <c r="K63">
        <v>5</v>
      </c>
      <c r="L63">
        <v>3495</v>
      </c>
      <c r="M63" s="1">
        <v>8806</v>
      </c>
      <c r="N63" t="s">
        <v>139</v>
      </c>
      <c r="O63" t="str">
        <f>B63&amp;" - "&amp;F63</f>
        <v>Michael Taylor - los angeles, ca</v>
      </c>
      <c r="S63" t="str">
        <v>2063</v>
      </c>
      <c r="T63" t="str">
        <v>James Smith</v>
      </c>
      <c r="U63" t="str">
        <v>James smith</v>
      </c>
      <c r="V63" t="str">
        <v xml:space="preserve">James  smith </v>
      </c>
      <c r="W63" t="str">
        <v>east</v>
      </c>
      <c r="X63" t="str">
        <v>philadelphia, pa</v>
      </c>
      <c r="Y63" t="str">
        <v>philadelphia</v>
      </c>
      <c r="Z63" t="str">
        <v>pa</v>
      </c>
      <c r="AA63" t="str">
        <v xml:space="preserve">Phone  </v>
      </c>
      <c r="AB63" t="str">
        <v>699</v>
      </c>
      <c r="AC63" t="str">
        <v>5</v>
      </c>
      <c r="AD63" t="str">
        <v>3495</v>
      </c>
      <c r="AE63" t="str">
        <v>8804</v>
      </c>
      <c r="AF63" t="str">
        <v xml:space="preserve"> customer63@company.com </v>
      </c>
    </row>
    <row r="64" spans="1:32" x14ac:dyDescent="0.35">
      <c r="A64">
        <v>2066</v>
      </c>
      <c r="B64" t="str">
        <f>PROPER(C64)</f>
        <v>James Anderson</v>
      </c>
      <c r="C64" t="str">
        <f>TRIM(D64)</f>
        <v>James Anderson</v>
      </c>
      <c r="D64" t="s">
        <v>140</v>
      </c>
      <c r="E64" t="s">
        <v>12</v>
      </c>
      <c r="F64" t="str">
        <f>_xlfn.CONCAT(G64,", ",H64)</f>
        <v>phoenix, az</v>
      </c>
      <c r="G64" t="s">
        <v>57</v>
      </c>
      <c r="H64" t="s">
        <v>58</v>
      </c>
      <c r="I64" t="s">
        <v>195</v>
      </c>
      <c r="J64">
        <v>299</v>
      </c>
      <c r="K64">
        <v>5</v>
      </c>
      <c r="L64">
        <v>1495</v>
      </c>
      <c r="M64" s="1">
        <v>8807</v>
      </c>
      <c r="N64" t="s">
        <v>141</v>
      </c>
      <c r="O64" t="str">
        <f t="shared" si="0"/>
        <v>James Anderson - phoenix, az</v>
      </c>
      <c r="S64" t="str">
        <v>2064</v>
      </c>
      <c r="T64" t="str">
        <v>John Moore</v>
      </c>
      <c r="U64" t="str">
        <v>john moore</v>
      </c>
      <c r="V64" t="str">
        <v xml:space="preserve"> john  moore</v>
      </c>
      <c r="W64" t="str">
        <v>east</v>
      </c>
      <c r="X64" t="str">
        <v>houston, tx</v>
      </c>
      <c r="Y64" t="str">
        <v>houston</v>
      </c>
      <c r="Z64" t="str">
        <v>tx</v>
      </c>
      <c r="AA64" t="str">
        <v xml:space="preserve">Tablet  </v>
      </c>
      <c r="AB64" t="str">
        <v>499</v>
      </c>
      <c r="AC64" t="str">
        <v>5</v>
      </c>
      <c r="AD64" t="str">
        <v>2495</v>
      </c>
      <c r="AE64" t="str">
        <v>8805</v>
      </c>
      <c r="AF64" t="str">
        <v xml:space="preserve"> customer64@company.com </v>
      </c>
    </row>
    <row r="65" spans="1:32" x14ac:dyDescent="0.35">
      <c r="A65">
        <v>2067</v>
      </c>
      <c r="B65" t="str">
        <f>PROPER(C65)</f>
        <v>Patricia Johnson</v>
      </c>
      <c r="C65" t="str">
        <f>TRIM(D65)</f>
        <v>patricia JOHNSON</v>
      </c>
      <c r="D65" t="s">
        <v>52</v>
      </c>
      <c r="E65" t="s">
        <v>21</v>
      </c>
      <c r="F65" t="str">
        <f>_xlfn.CONCAT(G65,", ",H65)</f>
        <v>chicago, il</v>
      </c>
      <c r="G65" t="s">
        <v>13</v>
      </c>
      <c r="H65" t="s">
        <v>14</v>
      </c>
      <c r="I65" t="s">
        <v>195</v>
      </c>
      <c r="J65">
        <v>299</v>
      </c>
      <c r="K65">
        <v>1</v>
      </c>
      <c r="L65">
        <v>299</v>
      </c>
      <c r="M65" s="1">
        <v>8808</v>
      </c>
      <c r="N65" t="s">
        <v>142</v>
      </c>
      <c r="O65" t="str">
        <f t="shared" si="0"/>
        <v>Patricia Johnson - chicago, il</v>
      </c>
      <c r="S65" t="str">
        <v>2065</v>
      </c>
      <c r="T65" t="str">
        <v>Michael Taylor</v>
      </c>
      <c r="U65" t="str">
        <v>MICHAEL TAYLOR</v>
      </c>
      <c r="V65" t="str">
        <v>MICHAEL  TAYLOR</v>
      </c>
      <c r="W65" t="str">
        <v>west</v>
      </c>
      <c r="X65" t="str">
        <v>los angeles, ca</v>
      </c>
      <c r="Y65" t="str">
        <v>los angeles</v>
      </c>
      <c r="Z65" t="str">
        <v>ca</v>
      </c>
      <c r="AA65" t="str">
        <v xml:space="preserve">Phone  </v>
      </c>
      <c r="AB65" t="str">
        <v>699</v>
      </c>
      <c r="AC65" t="str">
        <v>5</v>
      </c>
      <c r="AD65" t="str">
        <v>3495</v>
      </c>
      <c r="AE65" t="str">
        <v>8806</v>
      </c>
      <c r="AF65" t="str">
        <v xml:space="preserve"> customer65@company.com </v>
      </c>
    </row>
    <row r="66" spans="1:32" x14ac:dyDescent="0.35">
      <c r="A66">
        <v>2068</v>
      </c>
      <c r="B66" t="str">
        <f>PROPER(C66)</f>
        <v>Patricia Thomas</v>
      </c>
      <c r="C66" t="str">
        <f>TRIM(D66)</f>
        <v>patricia THOMAS</v>
      </c>
      <c r="D66" t="s">
        <v>143</v>
      </c>
      <c r="E66" t="s">
        <v>33</v>
      </c>
      <c r="F66" t="str">
        <f>_xlfn.CONCAT(G66,", ",H66)</f>
        <v>san diego, ca</v>
      </c>
      <c r="G66" t="s">
        <v>24</v>
      </c>
      <c r="H66" t="s">
        <v>25</v>
      </c>
      <c r="I66" t="s">
        <v>196</v>
      </c>
      <c r="J66">
        <v>89</v>
      </c>
      <c r="K66">
        <v>2</v>
      </c>
      <c r="L66">
        <v>178</v>
      </c>
      <c r="M66" s="1">
        <v>8809</v>
      </c>
      <c r="N66" t="s">
        <v>144</v>
      </c>
      <c r="O66" t="str">
        <f t="shared" si="0"/>
        <v>Patricia Thomas - san diego, ca</v>
      </c>
      <c r="S66" t="str">
        <v>2066</v>
      </c>
      <c r="T66" t="str">
        <v>James Anderson</v>
      </c>
      <c r="U66" t="str">
        <v>James Anderson</v>
      </c>
      <c r="V66" t="str">
        <v xml:space="preserve">James  Anderson </v>
      </c>
      <c r="W66" t="str">
        <v>south</v>
      </c>
      <c r="X66" t="str">
        <v>phoenix, az</v>
      </c>
      <c r="Y66" t="str">
        <v>phoenix</v>
      </c>
      <c r="Z66" t="str">
        <v>az</v>
      </c>
      <c r="AA66" t="str">
        <v xml:space="preserve">Monitor  </v>
      </c>
      <c r="AB66" t="str">
        <v>299</v>
      </c>
      <c r="AC66" t="str">
        <v>5</v>
      </c>
      <c r="AD66" t="str">
        <v>1495</v>
      </c>
      <c r="AE66" t="str">
        <v>8807</v>
      </c>
      <c r="AF66" t="str">
        <v xml:space="preserve"> customer66@company.com </v>
      </c>
    </row>
    <row r="67" spans="1:32" x14ac:dyDescent="0.35">
      <c r="A67">
        <v>2069</v>
      </c>
      <c r="B67" t="str">
        <f>PROPER(C67)</f>
        <v>Barbara Brown</v>
      </c>
      <c r="C67" t="str">
        <f>TRIM(D67)</f>
        <v>barbara brown</v>
      </c>
      <c r="D67" t="s">
        <v>145</v>
      </c>
      <c r="E67" t="s">
        <v>21</v>
      </c>
      <c r="F67" t="str">
        <f>_xlfn.CONCAT(G67,", ",H67)</f>
        <v>philadelphia, pa</v>
      </c>
      <c r="G67" t="s">
        <v>49</v>
      </c>
      <c r="H67" t="s">
        <v>50</v>
      </c>
      <c r="I67" t="s">
        <v>193</v>
      </c>
      <c r="J67">
        <v>699</v>
      </c>
      <c r="K67">
        <v>1</v>
      </c>
      <c r="L67">
        <v>699</v>
      </c>
      <c r="M67" s="1">
        <v>8810</v>
      </c>
      <c r="N67" t="s">
        <v>146</v>
      </c>
      <c r="O67" t="str">
        <f t="shared" ref="O67:O78" si="1">B67&amp;" - "&amp;F67</f>
        <v>Barbara Brown - philadelphia, pa</v>
      </c>
      <c r="S67" t="str">
        <v>2067</v>
      </c>
      <c r="T67" t="str">
        <v>Patricia Johnson</v>
      </c>
      <c r="U67" t="str">
        <v>patricia JOHNSON</v>
      </c>
      <c r="V67" t="str">
        <v xml:space="preserve"> patricia JOHNSON</v>
      </c>
      <c r="W67" t="str">
        <v>west</v>
      </c>
      <c r="X67" t="str">
        <v>chicago, il</v>
      </c>
      <c r="Y67" t="str">
        <v>chicago</v>
      </c>
      <c r="Z67" t="str">
        <v>il</v>
      </c>
      <c r="AA67" t="str">
        <v xml:space="preserve">Monitor  </v>
      </c>
      <c r="AB67" t="str">
        <v>299</v>
      </c>
      <c r="AC67" t="str">
        <v>1</v>
      </c>
      <c r="AD67" t="str">
        <v>299</v>
      </c>
      <c r="AE67" t="str">
        <v>8808</v>
      </c>
      <c r="AF67" t="str">
        <v xml:space="preserve"> customer67@company.com </v>
      </c>
    </row>
    <row r="68" spans="1:32" x14ac:dyDescent="0.35">
      <c r="A68">
        <v>2070</v>
      </c>
      <c r="B68" t="str">
        <f>PROPER(C68)</f>
        <v>Linda Smith</v>
      </c>
      <c r="C68" t="str">
        <f>TRIM(D68)</f>
        <v>LINDA smith</v>
      </c>
      <c r="D68" t="s">
        <v>147</v>
      </c>
      <c r="E68" t="s">
        <v>33</v>
      </c>
      <c r="F68" t="str">
        <f>_xlfn.CONCAT(G68,", ",H68)</f>
        <v>new york, ny</v>
      </c>
      <c r="G68" t="s">
        <v>53</v>
      </c>
      <c r="H68" t="s">
        <v>54</v>
      </c>
      <c r="I68" t="s">
        <v>196</v>
      </c>
      <c r="J68">
        <v>89</v>
      </c>
      <c r="K68">
        <v>4</v>
      </c>
      <c r="L68">
        <v>356</v>
      </c>
      <c r="M68" s="1">
        <v>8811</v>
      </c>
      <c r="N68" t="s">
        <v>148</v>
      </c>
      <c r="O68" t="str">
        <f t="shared" si="1"/>
        <v>Linda Smith - new york, ny</v>
      </c>
      <c r="S68" t="str">
        <v>2068</v>
      </c>
      <c r="T68" t="str">
        <v>Patricia Thomas</v>
      </c>
      <c r="U68" t="str">
        <v>patricia THOMAS</v>
      </c>
      <c r="V68" t="str">
        <v xml:space="preserve"> patricia THOMAS</v>
      </c>
      <c r="W68" t="str">
        <v>midwest</v>
      </c>
      <c r="X68" t="str">
        <v>san diego, ca</v>
      </c>
      <c r="Y68" t="str">
        <v>san diego</v>
      </c>
      <c r="Z68" t="str">
        <v>ca</v>
      </c>
      <c r="AA68" t="str">
        <v xml:space="preserve">Keyboard  </v>
      </c>
      <c r="AB68" t="str">
        <v>89</v>
      </c>
      <c r="AC68" t="str">
        <v>2</v>
      </c>
      <c r="AD68" t="str">
        <v>178</v>
      </c>
      <c r="AE68" t="str">
        <v>8809</v>
      </c>
      <c r="AF68" t="str">
        <v xml:space="preserve"> customer68@company.com </v>
      </c>
    </row>
    <row r="69" spans="1:32" x14ac:dyDescent="0.35">
      <c r="A69">
        <v>2071</v>
      </c>
      <c r="B69" t="str">
        <f>PROPER(C69)</f>
        <v>John Moore</v>
      </c>
      <c r="C69" t="str">
        <f>TRIM(D69)</f>
        <v>john moore</v>
      </c>
      <c r="D69" t="s">
        <v>137</v>
      </c>
      <c r="E69" t="s">
        <v>21</v>
      </c>
      <c r="F69" t="str">
        <f>_xlfn.CONCAT(G69,", ",H69)</f>
        <v>new york, ny</v>
      </c>
      <c r="G69" t="s">
        <v>53</v>
      </c>
      <c r="H69" t="s">
        <v>54</v>
      </c>
      <c r="I69" t="s">
        <v>193</v>
      </c>
      <c r="J69">
        <v>699</v>
      </c>
      <c r="K69">
        <v>3</v>
      </c>
      <c r="L69">
        <v>2097</v>
      </c>
      <c r="M69" s="1">
        <v>8812</v>
      </c>
      <c r="N69" t="s">
        <v>149</v>
      </c>
      <c r="O69" t="str">
        <f t="shared" si="1"/>
        <v>John Moore - new york, ny</v>
      </c>
      <c r="S69" t="str">
        <v>2069</v>
      </c>
      <c r="T69" t="str">
        <v>Barbara Brown</v>
      </c>
      <c r="U69" t="str">
        <v>barbara brown</v>
      </c>
      <c r="V69" t="str">
        <v>barbara  brown</v>
      </c>
      <c r="W69" t="str">
        <v>west</v>
      </c>
      <c r="X69" t="str">
        <v>philadelphia, pa</v>
      </c>
      <c r="Y69" t="str">
        <v>philadelphia</v>
      </c>
      <c r="Z69" t="str">
        <v>pa</v>
      </c>
      <c r="AA69" t="str">
        <v xml:space="preserve">Phone  </v>
      </c>
      <c r="AB69" t="str">
        <v>699</v>
      </c>
      <c r="AC69" t="str">
        <v>1</v>
      </c>
      <c r="AD69" t="str">
        <v>699</v>
      </c>
      <c r="AE69" t="str">
        <v>8810</v>
      </c>
      <c r="AF69" t="str">
        <v xml:space="preserve"> customer69@company.com </v>
      </c>
    </row>
    <row r="70" spans="1:32" x14ac:dyDescent="0.35">
      <c r="A70">
        <v>2072</v>
      </c>
      <c r="B70" t="str">
        <f>PROPER(C70)</f>
        <v>John Davis</v>
      </c>
      <c r="C70" t="str">
        <f>TRIM(D70)</f>
        <v>john DAVIS</v>
      </c>
      <c r="D70" t="s">
        <v>150</v>
      </c>
      <c r="E70" t="s">
        <v>12</v>
      </c>
      <c r="F70" t="str">
        <f>_xlfn.CONCAT(G70,", ",H70)</f>
        <v>los angeles, ca</v>
      </c>
      <c r="G70" t="s">
        <v>34</v>
      </c>
      <c r="H70" t="s">
        <v>25</v>
      </c>
      <c r="I70" t="s">
        <v>193</v>
      </c>
      <c r="J70">
        <v>699</v>
      </c>
      <c r="K70">
        <v>2</v>
      </c>
      <c r="L70">
        <v>1398</v>
      </c>
      <c r="M70" s="1">
        <v>8813</v>
      </c>
      <c r="N70" t="s">
        <v>151</v>
      </c>
      <c r="O70" t="str">
        <f t="shared" si="1"/>
        <v>John Davis - los angeles, ca</v>
      </c>
      <c r="S70" t="str">
        <v>2070</v>
      </c>
      <c r="T70" t="str">
        <v>Linda Smith</v>
      </c>
      <c r="U70" t="str">
        <v>LINDA smith</v>
      </c>
      <c r="V70" t="str">
        <v xml:space="preserve">LINDA smith </v>
      </c>
      <c r="W70" t="str">
        <v>midwest</v>
      </c>
      <c r="X70" t="str">
        <v>new york, ny</v>
      </c>
      <c r="Y70" t="str">
        <v>new york</v>
      </c>
      <c r="Z70" t="str">
        <v>ny</v>
      </c>
      <c r="AA70" t="str">
        <v xml:space="preserve">Keyboard  </v>
      </c>
      <c r="AB70" t="str">
        <v>89</v>
      </c>
      <c r="AC70" t="str">
        <v>4</v>
      </c>
      <c r="AD70" t="str">
        <v>356</v>
      </c>
      <c r="AE70" t="str">
        <v>8811</v>
      </c>
      <c r="AF70" t="str">
        <v xml:space="preserve"> customer70@company.com </v>
      </c>
    </row>
    <row r="71" spans="1:32" x14ac:dyDescent="0.35">
      <c r="A71">
        <v>2073</v>
      </c>
      <c r="B71" t="str">
        <f>PROPER(C71)</f>
        <v>John Anderson</v>
      </c>
      <c r="C71" t="str">
        <f>TRIM(D71)</f>
        <v>john Anderson</v>
      </c>
      <c r="D71" t="s">
        <v>152</v>
      </c>
      <c r="E71" t="s">
        <v>12</v>
      </c>
      <c r="F71" t="str">
        <f>_xlfn.CONCAT(G71,", ",H71)</f>
        <v>san antonio, tx</v>
      </c>
      <c r="G71" t="s">
        <v>17</v>
      </c>
      <c r="H71" t="s">
        <v>18</v>
      </c>
      <c r="I71" t="s">
        <v>195</v>
      </c>
      <c r="J71">
        <v>299</v>
      </c>
      <c r="K71">
        <v>5</v>
      </c>
      <c r="L71">
        <v>1495</v>
      </c>
      <c r="M71" s="1">
        <v>8814</v>
      </c>
      <c r="N71" t="s">
        <v>153</v>
      </c>
      <c r="O71" t="str">
        <f t="shared" si="1"/>
        <v>John Anderson - san antonio, tx</v>
      </c>
      <c r="S71" t="str">
        <v>2071</v>
      </c>
      <c r="T71" t="str">
        <v>John Moore</v>
      </c>
      <c r="U71" t="str">
        <v>john moore</v>
      </c>
      <c r="V71" t="str">
        <v xml:space="preserve"> john  moore</v>
      </c>
      <c r="W71" t="str">
        <v>west</v>
      </c>
      <c r="X71" t="str">
        <v>new york, ny</v>
      </c>
      <c r="Y71" t="str">
        <v>new york</v>
      </c>
      <c r="Z71" t="str">
        <v>ny</v>
      </c>
      <c r="AA71" t="str">
        <v xml:space="preserve">Phone  </v>
      </c>
      <c r="AB71" t="str">
        <v>699</v>
      </c>
      <c r="AC71" t="str">
        <v>3</v>
      </c>
      <c r="AD71" t="str">
        <v>2097</v>
      </c>
      <c r="AE71" t="str">
        <v>8812</v>
      </c>
      <c r="AF71" t="str">
        <v xml:space="preserve"> customer71@company.com </v>
      </c>
    </row>
    <row r="72" spans="1:32" x14ac:dyDescent="0.35">
      <c r="A72">
        <v>2074</v>
      </c>
      <c r="B72" t="str">
        <f>PROPER(C72)</f>
        <v>Elizabeth Jackson</v>
      </c>
      <c r="C72" t="str">
        <f>TRIM(D72)</f>
        <v>ELIZABETH jackson</v>
      </c>
      <c r="D72" t="s">
        <v>107</v>
      </c>
      <c r="E72" t="s">
        <v>21</v>
      </c>
      <c r="F72" t="str">
        <f>_xlfn.CONCAT(G72,", ",H72)</f>
        <v>houston, tx</v>
      </c>
      <c r="G72" t="s">
        <v>28</v>
      </c>
      <c r="H72" t="s">
        <v>18</v>
      </c>
      <c r="I72" t="s">
        <v>192</v>
      </c>
      <c r="J72">
        <v>899</v>
      </c>
      <c r="K72">
        <v>2</v>
      </c>
      <c r="L72">
        <v>1798</v>
      </c>
      <c r="M72" s="1">
        <v>8815</v>
      </c>
      <c r="N72" t="s">
        <v>154</v>
      </c>
      <c r="O72" t="str">
        <f t="shared" si="1"/>
        <v>Elizabeth Jackson - houston, tx</v>
      </c>
      <c r="S72" t="str">
        <v>2072</v>
      </c>
      <c r="T72" t="str">
        <v>John Davis</v>
      </c>
      <c r="U72" t="str">
        <v>john DAVIS</v>
      </c>
      <c r="V72" t="str">
        <v xml:space="preserve"> john DAVIS </v>
      </c>
      <c r="W72" t="str">
        <v>south</v>
      </c>
      <c r="X72" t="str">
        <v>los angeles, ca</v>
      </c>
      <c r="Y72" t="str">
        <v>los angeles</v>
      </c>
      <c r="Z72" t="str">
        <v>ca</v>
      </c>
      <c r="AA72" t="str">
        <v xml:space="preserve">Phone  </v>
      </c>
      <c r="AB72" t="str">
        <v>699</v>
      </c>
      <c r="AC72" t="str">
        <v>2</v>
      </c>
      <c r="AD72" t="str">
        <v>1398</v>
      </c>
      <c r="AE72" t="str">
        <v>8813</v>
      </c>
      <c r="AF72" t="str">
        <v xml:space="preserve"> customer72@company.com </v>
      </c>
    </row>
    <row r="73" spans="1:32" x14ac:dyDescent="0.35">
      <c r="A73">
        <v>2075</v>
      </c>
      <c r="B73" t="str">
        <f>PROPER(C73)</f>
        <v>Elizabeth Taylor</v>
      </c>
      <c r="C73" t="str">
        <f>TRIM(D73)</f>
        <v>ELIZABETH TAYLOR</v>
      </c>
      <c r="D73" t="s">
        <v>155</v>
      </c>
      <c r="E73" t="s">
        <v>21</v>
      </c>
      <c r="F73" t="str">
        <f>_xlfn.CONCAT(G73,", ",H73)</f>
        <v>new york, ny</v>
      </c>
      <c r="G73" t="s">
        <v>53</v>
      </c>
      <c r="H73" t="s">
        <v>54</v>
      </c>
      <c r="I73" t="s">
        <v>192</v>
      </c>
      <c r="J73">
        <v>899</v>
      </c>
      <c r="K73">
        <v>5</v>
      </c>
      <c r="L73">
        <v>4495</v>
      </c>
      <c r="M73" s="1">
        <v>8816</v>
      </c>
      <c r="N73" t="s">
        <v>156</v>
      </c>
      <c r="O73" t="str">
        <f t="shared" si="1"/>
        <v>Elizabeth Taylor - new york, ny</v>
      </c>
      <c r="S73" t="str">
        <v>2073</v>
      </c>
      <c r="T73" t="str">
        <v>John Anderson</v>
      </c>
      <c r="U73" t="str">
        <v>john Anderson</v>
      </c>
      <c r="V73" t="str">
        <v xml:space="preserve"> john Anderson </v>
      </c>
      <c r="W73" t="str">
        <v>south</v>
      </c>
      <c r="X73" t="str">
        <v>san antonio, tx</v>
      </c>
      <c r="Y73" t="str">
        <v>san antonio</v>
      </c>
      <c r="Z73" t="str">
        <v>tx</v>
      </c>
      <c r="AA73" t="str">
        <v xml:space="preserve">Monitor  </v>
      </c>
      <c r="AB73" t="str">
        <v>299</v>
      </c>
      <c r="AC73" t="str">
        <v>5</v>
      </c>
      <c r="AD73" t="str">
        <v>1495</v>
      </c>
      <c r="AE73" t="str">
        <v>8814</v>
      </c>
      <c r="AF73" t="str">
        <v xml:space="preserve"> customer73@company.com </v>
      </c>
    </row>
    <row r="74" spans="1:32" x14ac:dyDescent="0.35">
      <c r="A74">
        <v>2076</v>
      </c>
      <c r="B74" t="str">
        <f>PROPER(C74)</f>
        <v>Linda Taylor</v>
      </c>
      <c r="C74" t="str">
        <f>TRIM(D74)</f>
        <v>LINDA TAYLOR</v>
      </c>
      <c r="D74" t="s">
        <v>157</v>
      </c>
      <c r="E74" t="s">
        <v>41</v>
      </c>
      <c r="F74" t="str">
        <f>_xlfn.CONCAT(G74,", ",H74)</f>
        <v>houston, tx</v>
      </c>
      <c r="G74" t="s">
        <v>28</v>
      </c>
      <c r="H74" t="s">
        <v>18</v>
      </c>
      <c r="I74" t="s">
        <v>194</v>
      </c>
      <c r="J74">
        <v>499</v>
      </c>
      <c r="K74">
        <v>3</v>
      </c>
      <c r="L74">
        <v>1497</v>
      </c>
      <c r="M74" s="1">
        <v>8817</v>
      </c>
      <c r="N74" t="s">
        <v>158</v>
      </c>
      <c r="O74" t="str">
        <f t="shared" si="1"/>
        <v>Linda Taylor - houston, tx</v>
      </c>
      <c r="S74" t="str">
        <v>2074</v>
      </c>
      <c r="T74" t="str">
        <v>Elizabeth Jackson</v>
      </c>
      <c r="U74" t="str">
        <v>ELIZABETH jackson</v>
      </c>
      <c r="V74" t="str">
        <v>ELIZABETH   jackson</v>
      </c>
      <c r="W74" t="str">
        <v>west</v>
      </c>
      <c r="X74" t="str">
        <v>houston, tx</v>
      </c>
      <c r="Y74" t="str">
        <v>houston</v>
      </c>
      <c r="Z74" t="str">
        <v>tx</v>
      </c>
      <c r="AA74" t="str">
        <v xml:space="preserve">Laptop  </v>
      </c>
      <c r="AB74" t="str">
        <v>899</v>
      </c>
      <c r="AC74" t="str">
        <v>2</v>
      </c>
      <c r="AD74" t="str">
        <v>1798</v>
      </c>
      <c r="AE74" t="str">
        <v>8815</v>
      </c>
      <c r="AF74" t="str">
        <v xml:space="preserve"> customer74@company.com </v>
      </c>
    </row>
    <row r="75" spans="1:32" x14ac:dyDescent="0.35">
      <c r="A75">
        <v>2077</v>
      </c>
      <c r="B75" t="str">
        <f>PROPER(C75)</f>
        <v>John Davis</v>
      </c>
      <c r="C75" t="str">
        <f>TRIM(D75)</f>
        <v>john DAVIS</v>
      </c>
      <c r="D75" t="s">
        <v>150</v>
      </c>
      <c r="E75" t="s">
        <v>12</v>
      </c>
      <c r="F75" t="str">
        <f>_xlfn.CONCAT(G75,", ",H75)</f>
        <v>san diego, ca</v>
      </c>
      <c r="G75" t="s">
        <v>24</v>
      </c>
      <c r="H75" t="s">
        <v>25</v>
      </c>
      <c r="I75" t="s">
        <v>196</v>
      </c>
      <c r="J75">
        <v>89</v>
      </c>
      <c r="K75">
        <v>5</v>
      </c>
      <c r="L75">
        <v>445</v>
      </c>
      <c r="M75" s="1">
        <v>8818</v>
      </c>
      <c r="N75" t="s">
        <v>159</v>
      </c>
      <c r="O75" t="str">
        <f t="shared" si="1"/>
        <v>John Davis - san diego, ca</v>
      </c>
      <c r="S75" t="str">
        <v>2075</v>
      </c>
      <c r="T75" t="str">
        <v>Elizabeth Taylor</v>
      </c>
      <c r="U75" t="str">
        <v>ELIZABETH TAYLOR</v>
      </c>
      <c r="V75" t="str">
        <v>ELIZABETH  TAYLOR</v>
      </c>
      <c r="W75" t="str">
        <v>west</v>
      </c>
      <c r="X75" t="str">
        <v>new york, ny</v>
      </c>
      <c r="Y75" t="str">
        <v>new york</v>
      </c>
      <c r="Z75" t="str">
        <v>ny</v>
      </c>
      <c r="AA75" t="str">
        <v xml:space="preserve">Laptop  </v>
      </c>
      <c r="AB75" t="str">
        <v>899</v>
      </c>
      <c r="AC75" t="str">
        <v>5</v>
      </c>
      <c r="AD75" t="str">
        <v>4495</v>
      </c>
      <c r="AE75" t="str">
        <v>8816</v>
      </c>
      <c r="AF75" t="str">
        <v xml:space="preserve"> customer75@company.com </v>
      </c>
    </row>
    <row r="76" spans="1:32" x14ac:dyDescent="0.35">
      <c r="A76">
        <v>2078</v>
      </c>
      <c r="B76" t="str">
        <f>PROPER(C76)</f>
        <v>Elizabeth Jackson</v>
      </c>
      <c r="C76" t="str">
        <f>TRIM(D76)</f>
        <v>ELIZABETH jackson</v>
      </c>
      <c r="D76" t="s">
        <v>107</v>
      </c>
      <c r="E76" t="s">
        <v>33</v>
      </c>
      <c r="F76" t="str">
        <f>_xlfn.CONCAT(G76,", ",H76)</f>
        <v>san diego, ca</v>
      </c>
      <c r="G76" t="s">
        <v>24</v>
      </c>
      <c r="H76" t="s">
        <v>25</v>
      </c>
      <c r="I76" t="s">
        <v>195</v>
      </c>
      <c r="J76">
        <v>299</v>
      </c>
      <c r="K76">
        <v>5</v>
      </c>
      <c r="L76">
        <v>1495</v>
      </c>
      <c r="M76" s="1">
        <v>8819</v>
      </c>
      <c r="N76" t="s">
        <v>160</v>
      </c>
      <c r="O76" t="str">
        <f t="shared" si="1"/>
        <v>Elizabeth Jackson - san diego, ca</v>
      </c>
      <c r="S76" t="str">
        <v>2076</v>
      </c>
      <c r="T76" t="str">
        <v>Linda Taylor</v>
      </c>
      <c r="U76" t="str">
        <v>LINDA TAYLOR</v>
      </c>
      <c r="V76" t="str">
        <v>LINDA TAYLOR</v>
      </c>
      <c r="W76" t="str">
        <v>east</v>
      </c>
      <c r="X76" t="str">
        <v>houston, tx</v>
      </c>
      <c r="Y76" t="str">
        <v>houston</v>
      </c>
      <c r="Z76" t="str">
        <v>tx</v>
      </c>
      <c r="AA76" t="str">
        <v xml:space="preserve">Tablet  </v>
      </c>
      <c r="AB76" t="str">
        <v>499</v>
      </c>
      <c r="AC76" t="str">
        <v>3</v>
      </c>
      <c r="AD76" t="str">
        <v>1497</v>
      </c>
      <c r="AE76" t="str">
        <v>8817</v>
      </c>
      <c r="AF76" t="str">
        <v xml:space="preserve"> customer76@company.com </v>
      </c>
    </row>
    <row r="77" spans="1:32" x14ac:dyDescent="0.35">
      <c r="A77">
        <v>2079</v>
      </c>
      <c r="B77" t="str">
        <f>PROPER(C77)</f>
        <v>Barbara Wilson</v>
      </c>
      <c r="C77" t="str">
        <f>TRIM(D77)</f>
        <v>barbara wilson</v>
      </c>
      <c r="D77" t="s">
        <v>161</v>
      </c>
      <c r="E77" t="s">
        <v>21</v>
      </c>
      <c r="F77" t="str">
        <f>_xlfn.CONCAT(G77,", ",H77)</f>
        <v>san antonio, tx</v>
      </c>
      <c r="G77" t="s">
        <v>17</v>
      </c>
      <c r="H77" t="s">
        <v>18</v>
      </c>
      <c r="I77" t="s">
        <v>195</v>
      </c>
      <c r="J77">
        <v>299</v>
      </c>
      <c r="K77">
        <v>2</v>
      </c>
      <c r="L77">
        <v>598</v>
      </c>
      <c r="M77" s="1">
        <v>8820</v>
      </c>
      <c r="N77" t="s">
        <v>162</v>
      </c>
      <c r="O77" t="str">
        <f t="shared" si="1"/>
        <v>Barbara Wilson - san antonio, tx</v>
      </c>
      <c r="S77" t="str">
        <v>2077</v>
      </c>
      <c r="T77" t="str">
        <v>John Davis</v>
      </c>
      <c r="U77" t="str">
        <v>john DAVIS</v>
      </c>
      <c r="V77" t="str">
        <v xml:space="preserve"> john DAVIS </v>
      </c>
      <c r="W77" t="str">
        <v>south</v>
      </c>
      <c r="X77" t="str">
        <v>san diego, ca</v>
      </c>
      <c r="Y77" t="str">
        <v>san diego</v>
      </c>
      <c r="Z77" t="str">
        <v>ca</v>
      </c>
      <c r="AA77" t="str">
        <v xml:space="preserve">Keyboard  </v>
      </c>
      <c r="AB77" t="str">
        <v>89</v>
      </c>
      <c r="AC77" t="str">
        <v>5</v>
      </c>
      <c r="AD77" t="str">
        <v>445</v>
      </c>
      <c r="AE77" t="str">
        <v>8818</v>
      </c>
      <c r="AF77" t="str">
        <v xml:space="preserve"> customer77@company.com </v>
      </c>
    </row>
    <row r="78" spans="1:32" x14ac:dyDescent="0.35">
      <c r="A78">
        <v>2080</v>
      </c>
      <c r="B78" t="str">
        <f>PROPER(C78)</f>
        <v>William Thomas</v>
      </c>
      <c r="C78" t="str">
        <f>TRIM(D78)</f>
        <v>william THOMAS</v>
      </c>
      <c r="D78" t="s">
        <v>163</v>
      </c>
      <c r="E78" t="s">
        <v>33</v>
      </c>
      <c r="F78" t="str">
        <f>_xlfn.CONCAT(G78,", ",H78)</f>
        <v>chicago, il</v>
      </c>
      <c r="G78" t="s">
        <v>13</v>
      </c>
      <c r="H78" t="s">
        <v>14</v>
      </c>
      <c r="I78" t="s">
        <v>192</v>
      </c>
      <c r="J78">
        <v>899</v>
      </c>
      <c r="K78">
        <v>4</v>
      </c>
      <c r="L78">
        <v>3596</v>
      </c>
      <c r="M78" s="1">
        <v>8821</v>
      </c>
      <c r="N78" t="s">
        <v>164</v>
      </c>
      <c r="O78" t="str">
        <f t="shared" si="1"/>
        <v>William Thomas - chicago, il</v>
      </c>
      <c r="S78" t="str">
        <v>2078</v>
      </c>
      <c r="T78" t="str">
        <v>Elizabeth Jackson</v>
      </c>
      <c r="U78" t="str">
        <v>ELIZABETH jackson</v>
      </c>
      <c r="V78" t="str">
        <v>ELIZABETH   jackson</v>
      </c>
      <c r="W78" t="str">
        <v>midwest</v>
      </c>
      <c r="X78" t="str">
        <v>san diego, ca</v>
      </c>
      <c r="Y78" t="str">
        <v>san diego</v>
      </c>
      <c r="Z78" t="str">
        <v>ca</v>
      </c>
      <c r="AA78" t="str">
        <v xml:space="preserve">Monitor  </v>
      </c>
      <c r="AB78" t="str">
        <v>299</v>
      </c>
      <c r="AC78" t="str">
        <v>5</v>
      </c>
      <c r="AD78" t="str">
        <v>1495</v>
      </c>
      <c r="AE78" t="str">
        <v>8819</v>
      </c>
      <c r="AF78" t="str">
        <v xml:space="preserve"> customer78@company.com </v>
      </c>
    </row>
    <row r="79" spans="1:32" x14ac:dyDescent="0.35">
      <c r="A79">
        <v>2082</v>
      </c>
      <c r="B79" t="str">
        <f>PROPER(C79)</f>
        <v>Barbara Thomas</v>
      </c>
      <c r="C79" t="str">
        <f>TRIM(D79)</f>
        <v>barbara THOMAS</v>
      </c>
      <c r="D79" t="s">
        <v>48</v>
      </c>
      <c r="E79" t="s">
        <v>21</v>
      </c>
      <c r="F79" t="str">
        <f>_xlfn.CONCAT(G79,", ",H79)</f>
        <v>san antonio, tx</v>
      </c>
      <c r="G79" t="s">
        <v>17</v>
      </c>
      <c r="H79" t="s">
        <v>18</v>
      </c>
      <c r="I79" t="s">
        <v>196</v>
      </c>
      <c r="J79">
        <v>89</v>
      </c>
      <c r="K79">
        <v>2</v>
      </c>
      <c r="L79">
        <v>178</v>
      </c>
      <c r="M79" s="1">
        <v>8823</v>
      </c>
      <c r="N79" t="s">
        <v>165</v>
      </c>
      <c r="O79" t="str">
        <f>B79&amp;" - "&amp;F79</f>
        <v>Barbara Thomas - san antonio, tx</v>
      </c>
      <c r="S79" t="str">
        <v>2079</v>
      </c>
      <c r="T79" t="str">
        <v>Barbara Wilson</v>
      </c>
      <c r="U79" t="str">
        <v>barbara wilson</v>
      </c>
      <c r="V79" t="str">
        <v>barbara wilson</v>
      </c>
      <c r="W79" t="str">
        <v>west</v>
      </c>
      <c r="X79" t="str">
        <v>san antonio, tx</v>
      </c>
      <c r="Y79" t="str">
        <v>san antonio</v>
      </c>
      <c r="Z79" t="str">
        <v>tx</v>
      </c>
      <c r="AA79" t="str">
        <v xml:space="preserve">Monitor  </v>
      </c>
      <c r="AB79" t="str">
        <v>299</v>
      </c>
      <c r="AC79" t="str">
        <v>2</v>
      </c>
      <c r="AD79" t="str">
        <v>598</v>
      </c>
      <c r="AE79" t="str">
        <v>8820</v>
      </c>
      <c r="AF79" t="str">
        <v xml:space="preserve"> customer79@company.com </v>
      </c>
    </row>
    <row r="80" spans="1:32" x14ac:dyDescent="0.35">
      <c r="A80">
        <v>2083</v>
      </c>
      <c r="B80" t="str">
        <f>PROPER(C80)</f>
        <v>Michael Moore</v>
      </c>
      <c r="C80" t="str">
        <f>TRIM(D80)</f>
        <v>MICHAEL moore</v>
      </c>
      <c r="D80" t="s">
        <v>62</v>
      </c>
      <c r="E80" t="s">
        <v>12</v>
      </c>
      <c r="F80" t="str">
        <f>_xlfn.CONCAT(G80,", ",H80)</f>
        <v>san antonio, tx</v>
      </c>
      <c r="G80" t="s">
        <v>17</v>
      </c>
      <c r="H80" t="s">
        <v>18</v>
      </c>
      <c r="I80" t="s">
        <v>194</v>
      </c>
      <c r="J80">
        <v>499</v>
      </c>
      <c r="K80">
        <v>3</v>
      </c>
      <c r="L80">
        <v>1497</v>
      </c>
      <c r="M80" s="1">
        <v>8824</v>
      </c>
      <c r="N80" t="s">
        <v>166</v>
      </c>
      <c r="O80" t="str">
        <f t="shared" ref="O80:O96" si="2">B80&amp;" - "&amp;F80</f>
        <v>Michael Moore - san antonio, tx</v>
      </c>
      <c r="S80" t="str">
        <v>2080</v>
      </c>
      <c r="T80" t="str">
        <v>William Thomas</v>
      </c>
      <c r="U80" t="str">
        <v>william THOMAS</v>
      </c>
      <c r="V80" t="str">
        <v xml:space="preserve"> william THOMAS</v>
      </c>
      <c r="W80" t="str">
        <v>midwest</v>
      </c>
      <c r="X80" t="str">
        <v>chicago, il</v>
      </c>
      <c r="Y80" t="str">
        <v>chicago</v>
      </c>
      <c r="Z80" t="str">
        <v>il</v>
      </c>
      <c r="AA80" t="str">
        <v xml:space="preserve">Laptop  </v>
      </c>
      <c r="AB80" t="str">
        <v>899</v>
      </c>
      <c r="AC80" t="str">
        <v>4</v>
      </c>
      <c r="AD80" t="str">
        <v>3596</v>
      </c>
      <c r="AE80" t="str">
        <v>8821</v>
      </c>
      <c r="AF80" t="str">
        <v xml:space="preserve"> customer80@company.com </v>
      </c>
    </row>
    <row r="81" spans="1:32" x14ac:dyDescent="0.35">
      <c r="A81">
        <v>2084</v>
      </c>
      <c r="B81" t="str">
        <f>PROPER(C81)</f>
        <v>Linda Wilson</v>
      </c>
      <c r="C81" t="str">
        <f>TRIM(D81)</f>
        <v>LINDA wilson</v>
      </c>
      <c r="D81" t="s">
        <v>100</v>
      </c>
      <c r="E81" t="s">
        <v>41</v>
      </c>
      <c r="F81" t="str">
        <f>_xlfn.CONCAT(G81,", ",H81)</f>
        <v>san diego, ca</v>
      </c>
      <c r="G81" t="s">
        <v>24</v>
      </c>
      <c r="H81" t="s">
        <v>25</v>
      </c>
      <c r="I81" t="s">
        <v>194</v>
      </c>
      <c r="J81">
        <v>499</v>
      </c>
      <c r="K81">
        <v>4</v>
      </c>
      <c r="L81">
        <v>1996</v>
      </c>
      <c r="M81" s="1">
        <v>8825</v>
      </c>
      <c r="N81" t="s">
        <v>167</v>
      </c>
      <c r="O81" t="str">
        <f t="shared" si="2"/>
        <v>Linda Wilson - san diego, ca</v>
      </c>
      <c r="S81" t="str">
        <v>2082</v>
      </c>
      <c r="T81" t="str">
        <v>Barbara Thomas</v>
      </c>
      <c r="U81" t="str">
        <v>barbara THOMAS</v>
      </c>
      <c r="V81" t="str">
        <v>barbara THOMAS</v>
      </c>
      <c r="W81" t="str">
        <v>west</v>
      </c>
      <c r="X81" t="str">
        <v>san antonio, tx</v>
      </c>
      <c r="Y81" t="str">
        <v>san antonio</v>
      </c>
      <c r="Z81" t="str">
        <v>tx</v>
      </c>
      <c r="AA81" t="str">
        <v xml:space="preserve">Keyboard  </v>
      </c>
      <c r="AB81" t="str">
        <v>89</v>
      </c>
      <c r="AC81" t="str">
        <v>2</v>
      </c>
      <c r="AD81" t="str">
        <v>178</v>
      </c>
      <c r="AE81" t="str">
        <v>8823</v>
      </c>
      <c r="AF81" t="str">
        <v xml:space="preserve"> customer82@company.com </v>
      </c>
    </row>
    <row r="82" spans="1:32" x14ac:dyDescent="0.35">
      <c r="A82">
        <v>2085</v>
      </c>
      <c r="B82" t="str">
        <f>PROPER(C82)</f>
        <v>Linda Smith</v>
      </c>
      <c r="C82" t="str">
        <f>TRIM(D82)</f>
        <v>LINDA smith</v>
      </c>
      <c r="D82" t="s">
        <v>147</v>
      </c>
      <c r="E82" t="s">
        <v>33</v>
      </c>
      <c r="F82" t="str">
        <f>_xlfn.CONCAT(G82,", ",H82)</f>
        <v>los angeles, ca</v>
      </c>
      <c r="G82" t="s">
        <v>34</v>
      </c>
      <c r="H82" t="s">
        <v>25</v>
      </c>
      <c r="I82" t="s">
        <v>194</v>
      </c>
      <c r="J82">
        <v>499</v>
      </c>
      <c r="K82">
        <v>3</v>
      </c>
      <c r="L82">
        <v>1497</v>
      </c>
      <c r="M82" s="1">
        <v>8798</v>
      </c>
      <c r="N82" t="s">
        <v>168</v>
      </c>
      <c r="O82" t="str">
        <f t="shared" si="2"/>
        <v>Linda Smith - los angeles, ca</v>
      </c>
      <c r="S82" t="str">
        <v>2083</v>
      </c>
      <c r="T82" t="str">
        <v>Michael Moore</v>
      </c>
      <c r="U82" t="str">
        <v>MICHAEL moore</v>
      </c>
      <c r="V82" t="str">
        <v>MICHAEL   moore</v>
      </c>
      <c r="W82" t="str">
        <v>south</v>
      </c>
      <c r="X82" t="str">
        <v>san antonio, tx</v>
      </c>
      <c r="Y82" t="str">
        <v>san antonio</v>
      </c>
      <c r="Z82" t="str">
        <v>tx</v>
      </c>
      <c r="AA82" t="str">
        <v xml:space="preserve">Tablet  </v>
      </c>
      <c r="AB82" t="str">
        <v>499</v>
      </c>
      <c r="AC82" t="str">
        <v>3</v>
      </c>
      <c r="AD82" t="str">
        <v>1497</v>
      </c>
      <c r="AE82" t="str">
        <v>8824</v>
      </c>
      <c r="AF82" t="str">
        <v xml:space="preserve"> customer83@company.com </v>
      </c>
    </row>
    <row r="83" spans="1:32" x14ac:dyDescent="0.35">
      <c r="A83">
        <v>2086</v>
      </c>
      <c r="B83" t="str">
        <f>PROPER(C83)</f>
        <v>Elizabeth Moore</v>
      </c>
      <c r="C83" t="str">
        <f>TRIM(D83)</f>
        <v>ELIZABETH moore</v>
      </c>
      <c r="D83" t="s">
        <v>44</v>
      </c>
      <c r="E83" t="s">
        <v>12</v>
      </c>
      <c r="F83" t="str">
        <f>_xlfn.CONCAT(G83,", ",H83)</f>
        <v>philadelphia, pa</v>
      </c>
      <c r="G83" t="s">
        <v>49</v>
      </c>
      <c r="H83" t="s">
        <v>50</v>
      </c>
      <c r="I83" t="s">
        <v>192</v>
      </c>
      <c r="J83">
        <v>899</v>
      </c>
      <c r="K83">
        <v>1</v>
      </c>
      <c r="L83">
        <v>899</v>
      </c>
      <c r="M83" s="1">
        <v>8799</v>
      </c>
      <c r="N83" t="s">
        <v>169</v>
      </c>
      <c r="O83" t="str">
        <f t="shared" si="2"/>
        <v>Elizabeth Moore - philadelphia, pa</v>
      </c>
      <c r="S83" t="str">
        <v>2084</v>
      </c>
      <c r="T83" t="str">
        <v>Linda Wilson</v>
      </c>
      <c r="U83" t="str">
        <v>LINDA wilson</v>
      </c>
      <c r="V83" t="str">
        <v>LINDA wilson</v>
      </c>
      <c r="W83" t="str">
        <v>east</v>
      </c>
      <c r="X83" t="str">
        <v>san diego, ca</v>
      </c>
      <c r="Y83" t="str">
        <v>san diego</v>
      </c>
      <c r="Z83" t="str">
        <v>ca</v>
      </c>
      <c r="AA83" t="str">
        <v xml:space="preserve">Tablet  </v>
      </c>
      <c r="AB83" t="str">
        <v>499</v>
      </c>
      <c r="AC83" t="str">
        <v>4</v>
      </c>
      <c r="AD83" t="str">
        <v>1996</v>
      </c>
      <c r="AE83" t="str">
        <v>8825</v>
      </c>
      <c r="AF83" t="str">
        <v xml:space="preserve"> customer84@company.com </v>
      </c>
    </row>
    <row r="84" spans="1:32" x14ac:dyDescent="0.35">
      <c r="A84">
        <v>2087</v>
      </c>
      <c r="B84" t="str">
        <f>PROPER(C84)</f>
        <v>Barbara Wilson</v>
      </c>
      <c r="C84" t="str">
        <f>TRIM(D84)</f>
        <v>barbara wilson</v>
      </c>
      <c r="D84" t="s">
        <v>161</v>
      </c>
      <c r="E84" t="s">
        <v>21</v>
      </c>
      <c r="F84" t="str">
        <f>_xlfn.CONCAT(G84,", ",H84)</f>
        <v>phoenix, az</v>
      </c>
      <c r="G84" t="s">
        <v>57</v>
      </c>
      <c r="H84" t="s">
        <v>58</v>
      </c>
      <c r="I84" t="s">
        <v>192</v>
      </c>
      <c r="J84">
        <v>899</v>
      </c>
      <c r="K84">
        <v>4</v>
      </c>
      <c r="L84">
        <v>3596</v>
      </c>
      <c r="M84" s="1">
        <v>8800</v>
      </c>
      <c r="N84" t="s">
        <v>170</v>
      </c>
      <c r="O84" t="str">
        <f t="shared" si="2"/>
        <v>Barbara Wilson - phoenix, az</v>
      </c>
      <c r="S84" t="str">
        <v>2085</v>
      </c>
      <c r="T84" t="str">
        <v>Linda Smith</v>
      </c>
      <c r="U84" t="str">
        <v>LINDA smith</v>
      </c>
      <c r="V84" t="str">
        <v xml:space="preserve">LINDA smith </v>
      </c>
      <c r="W84" t="str">
        <v>midwest</v>
      </c>
      <c r="X84" t="str">
        <v>los angeles, ca</v>
      </c>
      <c r="Y84" t="str">
        <v>los angeles</v>
      </c>
      <c r="Z84" t="str">
        <v>ca</v>
      </c>
      <c r="AA84" t="str">
        <v xml:space="preserve">Tablet  </v>
      </c>
      <c r="AB84" t="str">
        <v>499</v>
      </c>
      <c r="AC84" t="str">
        <v>3</v>
      </c>
      <c r="AD84" t="str">
        <v>1497</v>
      </c>
      <c r="AE84" t="str">
        <v>8798</v>
      </c>
      <c r="AF84" t="str">
        <v xml:space="preserve"> customer85@company.com </v>
      </c>
    </row>
    <row r="85" spans="1:32" x14ac:dyDescent="0.35">
      <c r="A85">
        <v>2088</v>
      </c>
      <c r="B85" t="str">
        <f>PROPER(C85)</f>
        <v>Linda Moore</v>
      </c>
      <c r="C85" t="str">
        <f>TRIM(D85)</f>
        <v>LINDA moore</v>
      </c>
      <c r="D85" t="s">
        <v>72</v>
      </c>
      <c r="E85" t="s">
        <v>21</v>
      </c>
      <c r="F85" t="str">
        <f>_xlfn.CONCAT(G85,", ",H85)</f>
        <v>houston, tx</v>
      </c>
      <c r="G85" t="s">
        <v>28</v>
      </c>
      <c r="H85" t="s">
        <v>18</v>
      </c>
      <c r="I85" t="s">
        <v>192</v>
      </c>
      <c r="J85">
        <v>899</v>
      </c>
      <c r="K85">
        <v>5</v>
      </c>
      <c r="L85">
        <v>4495</v>
      </c>
      <c r="M85" s="1">
        <v>8801</v>
      </c>
      <c r="N85" t="s">
        <v>171</v>
      </c>
      <c r="O85" t="str">
        <f t="shared" si="2"/>
        <v>Linda Moore - houston, tx</v>
      </c>
      <c r="S85" t="str">
        <v>2086</v>
      </c>
      <c r="T85" t="str">
        <v>Elizabeth Moore</v>
      </c>
      <c r="U85" t="str">
        <v>ELIZABETH moore</v>
      </c>
      <c r="V85" t="str">
        <v>ELIZABETH   moore</v>
      </c>
      <c r="W85" t="str">
        <v>south</v>
      </c>
      <c r="X85" t="str">
        <v>philadelphia, pa</v>
      </c>
      <c r="Y85" t="str">
        <v>philadelphia</v>
      </c>
      <c r="Z85" t="str">
        <v>pa</v>
      </c>
      <c r="AA85" t="str">
        <v xml:space="preserve">Laptop  </v>
      </c>
      <c r="AB85" t="str">
        <v>899</v>
      </c>
      <c r="AC85" t="str">
        <v>1</v>
      </c>
      <c r="AD85" t="str">
        <v>899</v>
      </c>
      <c r="AE85" t="str">
        <v>8799</v>
      </c>
      <c r="AF85" t="str">
        <v xml:space="preserve"> customer86@company.com </v>
      </c>
    </row>
    <row r="86" spans="1:32" x14ac:dyDescent="0.35">
      <c r="A86">
        <v>2089</v>
      </c>
      <c r="B86" t="str">
        <f>PROPER(C86)</f>
        <v>Mary Smith</v>
      </c>
      <c r="C86" t="str">
        <f>TRIM(D86)</f>
        <v>MARY smith</v>
      </c>
      <c r="D86" t="s">
        <v>172</v>
      </c>
      <c r="E86" t="s">
        <v>33</v>
      </c>
      <c r="F86" t="str">
        <f>_xlfn.CONCAT(G86,", ",H86)</f>
        <v>los angeles, ca</v>
      </c>
      <c r="G86" t="s">
        <v>34</v>
      </c>
      <c r="H86" t="s">
        <v>25</v>
      </c>
      <c r="I86" t="s">
        <v>194</v>
      </c>
      <c r="J86">
        <v>499</v>
      </c>
      <c r="K86">
        <v>1</v>
      </c>
      <c r="L86">
        <v>499</v>
      </c>
      <c r="M86" s="1">
        <v>8802</v>
      </c>
      <c r="N86" t="s">
        <v>173</v>
      </c>
      <c r="O86" t="str">
        <f t="shared" si="2"/>
        <v>Mary Smith - los angeles, ca</v>
      </c>
      <c r="S86" t="str">
        <v>2087</v>
      </c>
      <c r="T86" t="str">
        <v>Barbara Wilson</v>
      </c>
      <c r="U86" t="str">
        <v>barbara wilson</v>
      </c>
      <c r="V86" t="str">
        <v>barbara wilson</v>
      </c>
      <c r="W86" t="str">
        <v>west</v>
      </c>
      <c r="X86" t="str">
        <v>phoenix, az</v>
      </c>
      <c r="Y86" t="str">
        <v>phoenix</v>
      </c>
      <c r="Z86" t="str">
        <v>az</v>
      </c>
      <c r="AA86" t="str">
        <v xml:space="preserve">Laptop  </v>
      </c>
      <c r="AB86" t="str">
        <v>899</v>
      </c>
      <c r="AC86" t="str">
        <v>4</v>
      </c>
      <c r="AD86" t="str">
        <v>3596</v>
      </c>
      <c r="AE86" t="str">
        <v>8800</v>
      </c>
      <c r="AF86" t="str">
        <v xml:space="preserve"> customer87@company.com </v>
      </c>
    </row>
    <row r="87" spans="1:32" x14ac:dyDescent="0.35">
      <c r="A87">
        <v>2090</v>
      </c>
      <c r="B87" t="str">
        <f>PROPER(C87)</f>
        <v>John Brown</v>
      </c>
      <c r="C87" t="str">
        <f>TRIM(D87)</f>
        <v>john brown</v>
      </c>
      <c r="D87" t="s">
        <v>174</v>
      </c>
      <c r="E87" t="s">
        <v>33</v>
      </c>
      <c r="F87" t="str">
        <f>_xlfn.CONCAT(G87,", ",H87)</f>
        <v>chicago, il</v>
      </c>
      <c r="G87" t="s">
        <v>13</v>
      </c>
      <c r="H87" t="s">
        <v>14</v>
      </c>
      <c r="I87" t="s">
        <v>193</v>
      </c>
      <c r="J87">
        <v>699</v>
      </c>
      <c r="K87">
        <v>4</v>
      </c>
      <c r="L87">
        <v>2796</v>
      </c>
      <c r="M87" s="1">
        <v>8803</v>
      </c>
      <c r="N87" t="s">
        <v>175</v>
      </c>
      <c r="O87" t="str">
        <f t="shared" si="2"/>
        <v>John Brown - chicago, il</v>
      </c>
      <c r="S87" t="str">
        <v>2088</v>
      </c>
      <c r="T87" t="str">
        <v>Linda Moore</v>
      </c>
      <c r="U87" t="str">
        <v>LINDA moore</v>
      </c>
      <c r="V87" t="str">
        <v>LINDA  moore</v>
      </c>
      <c r="W87" t="str">
        <v>west</v>
      </c>
      <c r="X87" t="str">
        <v>houston, tx</v>
      </c>
      <c r="Y87" t="str">
        <v>houston</v>
      </c>
      <c r="Z87" t="str">
        <v>tx</v>
      </c>
      <c r="AA87" t="str">
        <v xml:space="preserve">Laptop  </v>
      </c>
      <c r="AB87" t="str">
        <v>899</v>
      </c>
      <c r="AC87" t="str">
        <v>5</v>
      </c>
      <c r="AD87" t="str">
        <v>4495</v>
      </c>
      <c r="AE87" t="str">
        <v>8801</v>
      </c>
      <c r="AF87" t="str">
        <v xml:space="preserve"> customer88@company.com </v>
      </c>
    </row>
    <row r="88" spans="1:32" x14ac:dyDescent="0.35">
      <c r="A88">
        <v>2091</v>
      </c>
      <c r="B88" t="str">
        <f>PROPER(C88)</f>
        <v>James Davis</v>
      </c>
      <c r="C88" t="str">
        <f>TRIM(D88)</f>
        <v>James DAVIS</v>
      </c>
      <c r="D88" t="s">
        <v>176</v>
      </c>
      <c r="E88" t="s">
        <v>21</v>
      </c>
      <c r="F88" t="str">
        <f>_xlfn.CONCAT(G88,", ",H88)</f>
        <v>houston, tx</v>
      </c>
      <c r="G88" t="s">
        <v>28</v>
      </c>
      <c r="H88" t="s">
        <v>18</v>
      </c>
      <c r="I88" t="s">
        <v>192</v>
      </c>
      <c r="J88">
        <v>899</v>
      </c>
      <c r="K88">
        <v>1</v>
      </c>
      <c r="L88">
        <v>899</v>
      </c>
      <c r="M88" s="1">
        <v>8804</v>
      </c>
      <c r="N88" t="s">
        <v>177</v>
      </c>
      <c r="O88" t="str">
        <f t="shared" si="2"/>
        <v>James Davis - houston, tx</v>
      </c>
      <c r="S88" t="str">
        <v>2089</v>
      </c>
      <c r="T88" t="str">
        <v>Mary Smith</v>
      </c>
      <c r="U88" t="str">
        <v>MARY smith</v>
      </c>
      <c r="V88" t="str">
        <v xml:space="preserve">MARY  smith </v>
      </c>
      <c r="W88" t="str">
        <v>midwest</v>
      </c>
      <c r="X88" t="str">
        <v>los angeles, ca</v>
      </c>
      <c r="Y88" t="str">
        <v>los angeles</v>
      </c>
      <c r="Z88" t="str">
        <v>ca</v>
      </c>
      <c r="AA88" t="str">
        <v xml:space="preserve">Tablet  </v>
      </c>
      <c r="AB88" t="str">
        <v>499</v>
      </c>
      <c r="AC88" t="str">
        <v>1</v>
      </c>
      <c r="AD88" t="str">
        <v>499</v>
      </c>
      <c r="AE88" t="str">
        <v>8802</v>
      </c>
      <c r="AF88" t="str">
        <v xml:space="preserve"> customer89@company.com </v>
      </c>
    </row>
    <row r="89" spans="1:32" x14ac:dyDescent="0.35">
      <c r="A89">
        <v>2092</v>
      </c>
      <c r="B89" t="str">
        <f>PROPER(C89)</f>
        <v>Linda Thomas</v>
      </c>
      <c r="C89" t="str">
        <f>TRIM(D89)</f>
        <v>LINDA THOMAS</v>
      </c>
      <c r="D89" t="s">
        <v>178</v>
      </c>
      <c r="E89" t="s">
        <v>12</v>
      </c>
      <c r="F89" t="str">
        <f>_xlfn.CONCAT(G89,", ",H89)</f>
        <v>philadelphia, pa</v>
      </c>
      <c r="G89" t="s">
        <v>49</v>
      </c>
      <c r="H89" t="s">
        <v>50</v>
      </c>
      <c r="I89" t="s">
        <v>192</v>
      </c>
      <c r="J89">
        <v>899</v>
      </c>
      <c r="K89">
        <v>5</v>
      </c>
      <c r="L89">
        <v>4495</v>
      </c>
      <c r="M89" s="1">
        <v>8805</v>
      </c>
      <c r="N89" t="s">
        <v>179</v>
      </c>
      <c r="O89" t="str">
        <f t="shared" si="2"/>
        <v>Linda Thomas - philadelphia, pa</v>
      </c>
      <c r="S89" t="str">
        <v>2090</v>
      </c>
      <c r="T89" t="str">
        <v>John Brown</v>
      </c>
      <c r="U89" t="str">
        <v>john brown</v>
      </c>
      <c r="V89" t="str">
        <v xml:space="preserve"> john  brown</v>
      </c>
      <c r="W89" t="str">
        <v>midwest</v>
      </c>
      <c r="X89" t="str">
        <v>chicago, il</v>
      </c>
      <c r="Y89" t="str">
        <v>chicago</v>
      </c>
      <c r="Z89" t="str">
        <v>il</v>
      </c>
      <c r="AA89" t="str">
        <v xml:space="preserve">Phone  </v>
      </c>
      <c r="AB89" t="str">
        <v>699</v>
      </c>
      <c r="AC89" t="str">
        <v>4</v>
      </c>
      <c r="AD89" t="str">
        <v>2796</v>
      </c>
      <c r="AE89" t="str">
        <v>8803</v>
      </c>
      <c r="AF89" t="str">
        <v xml:space="preserve"> customer90@company.com </v>
      </c>
    </row>
    <row r="90" spans="1:32" x14ac:dyDescent="0.35">
      <c r="A90">
        <v>2093</v>
      </c>
      <c r="B90" t="str">
        <f>PROPER(C90)</f>
        <v>Patricia Wilson</v>
      </c>
      <c r="C90" t="str">
        <f>TRIM(D90)</f>
        <v>patricia wilson</v>
      </c>
      <c r="D90" t="s">
        <v>124</v>
      </c>
      <c r="E90" t="s">
        <v>12</v>
      </c>
      <c r="F90" t="str">
        <f>_xlfn.CONCAT(G90,", ",H90)</f>
        <v>chicago, il</v>
      </c>
      <c r="G90" t="s">
        <v>13</v>
      </c>
      <c r="H90" t="s">
        <v>14</v>
      </c>
      <c r="I90" t="s">
        <v>192</v>
      </c>
      <c r="J90">
        <v>899</v>
      </c>
      <c r="K90">
        <v>3</v>
      </c>
      <c r="L90">
        <v>2697</v>
      </c>
      <c r="M90" s="1">
        <v>8806</v>
      </c>
      <c r="N90" t="s">
        <v>180</v>
      </c>
      <c r="O90" t="str">
        <f t="shared" si="2"/>
        <v>Patricia Wilson - chicago, il</v>
      </c>
      <c r="S90" t="str">
        <v>2091</v>
      </c>
      <c r="T90" t="str">
        <v>James Davis</v>
      </c>
      <c r="U90" t="str">
        <v>James DAVIS</v>
      </c>
      <c r="V90" t="str">
        <v xml:space="preserve">James  DAVIS </v>
      </c>
      <c r="W90" t="str">
        <v>west</v>
      </c>
      <c r="X90" t="str">
        <v>houston, tx</v>
      </c>
      <c r="Y90" t="str">
        <v>houston</v>
      </c>
      <c r="Z90" t="str">
        <v>tx</v>
      </c>
      <c r="AA90" t="str">
        <v xml:space="preserve">Laptop  </v>
      </c>
      <c r="AB90" t="str">
        <v>899</v>
      </c>
      <c r="AC90" t="str">
        <v>1</v>
      </c>
      <c r="AD90" t="str">
        <v>899</v>
      </c>
      <c r="AE90" t="str">
        <v>8804</v>
      </c>
      <c r="AF90" t="str">
        <v xml:space="preserve"> customer91@company.com </v>
      </c>
    </row>
    <row r="91" spans="1:32" x14ac:dyDescent="0.35">
      <c r="A91">
        <v>2094</v>
      </c>
      <c r="B91" t="str">
        <f>PROPER(C91)</f>
        <v>Michael Thomas</v>
      </c>
      <c r="C91" t="str">
        <f>TRIM(D91)</f>
        <v>MICHAEL THOMAS</v>
      </c>
      <c r="D91" t="s">
        <v>23</v>
      </c>
      <c r="E91" t="s">
        <v>21</v>
      </c>
      <c r="F91" t="str">
        <f>_xlfn.CONCAT(G91,", ",H91)</f>
        <v>new york, ny</v>
      </c>
      <c r="G91" t="s">
        <v>53</v>
      </c>
      <c r="H91" t="s">
        <v>54</v>
      </c>
      <c r="I91" t="s">
        <v>193</v>
      </c>
      <c r="J91">
        <v>699</v>
      </c>
      <c r="K91">
        <v>1</v>
      </c>
      <c r="L91">
        <v>699</v>
      </c>
      <c r="M91" s="1">
        <v>8807</v>
      </c>
      <c r="N91" t="s">
        <v>181</v>
      </c>
      <c r="O91" t="str">
        <f t="shared" si="2"/>
        <v>Michael Thomas - new york, ny</v>
      </c>
      <c r="S91" t="str">
        <v>2092</v>
      </c>
      <c r="T91" t="str">
        <v>Linda Thomas</v>
      </c>
      <c r="U91" t="str">
        <v>LINDA THOMAS</v>
      </c>
      <c r="V91" t="str">
        <v>LINDA THOMAS</v>
      </c>
      <c r="W91" t="str">
        <v>south</v>
      </c>
      <c r="X91" t="str">
        <v>philadelphia, pa</v>
      </c>
      <c r="Y91" t="str">
        <v>philadelphia</v>
      </c>
      <c r="Z91" t="str">
        <v>pa</v>
      </c>
      <c r="AA91" t="str">
        <v xml:space="preserve">Laptop  </v>
      </c>
      <c r="AB91" t="str">
        <v>899</v>
      </c>
      <c r="AC91" t="str">
        <v>5</v>
      </c>
      <c r="AD91" t="str">
        <v>4495</v>
      </c>
      <c r="AE91" t="str">
        <v>8805</v>
      </c>
      <c r="AF91" t="str">
        <v xml:space="preserve"> customer92@company.com </v>
      </c>
    </row>
    <row r="92" spans="1:32" x14ac:dyDescent="0.35">
      <c r="A92">
        <v>2096</v>
      </c>
      <c r="B92" t="str">
        <f>PROPER(C92)</f>
        <v>John Moore</v>
      </c>
      <c r="C92" t="str">
        <f>TRIM(D92)</f>
        <v>john moore</v>
      </c>
      <c r="D92" t="s">
        <v>137</v>
      </c>
      <c r="E92" t="s">
        <v>33</v>
      </c>
      <c r="F92" t="str">
        <f>_xlfn.CONCAT(G92,", ",H92)</f>
        <v>phoenix, az</v>
      </c>
      <c r="G92" t="s">
        <v>57</v>
      </c>
      <c r="H92" t="s">
        <v>58</v>
      </c>
      <c r="I92" t="s">
        <v>196</v>
      </c>
      <c r="J92">
        <v>89</v>
      </c>
      <c r="K92">
        <v>4</v>
      </c>
      <c r="L92">
        <v>356</v>
      </c>
      <c r="M92" s="1">
        <v>8809</v>
      </c>
      <c r="N92" t="s">
        <v>182</v>
      </c>
      <c r="O92" t="str">
        <f t="shared" si="2"/>
        <v>John Moore - phoenix, az</v>
      </c>
      <c r="S92" t="str">
        <v>2093</v>
      </c>
      <c r="T92" t="str">
        <v>Patricia Wilson</v>
      </c>
      <c r="U92" t="str">
        <v>patricia wilson</v>
      </c>
      <c r="V92" t="str">
        <v xml:space="preserve"> patricia wilson</v>
      </c>
      <c r="W92" t="str">
        <v>south</v>
      </c>
      <c r="X92" t="str">
        <v>chicago, il</v>
      </c>
      <c r="Y92" t="str">
        <v>chicago</v>
      </c>
      <c r="Z92" t="str">
        <v>il</v>
      </c>
      <c r="AA92" t="str">
        <v xml:space="preserve">Laptop  </v>
      </c>
      <c r="AB92" t="str">
        <v>899</v>
      </c>
      <c r="AC92" t="str">
        <v>3</v>
      </c>
      <c r="AD92" t="str">
        <v>2697</v>
      </c>
      <c r="AE92" t="str">
        <v>8806</v>
      </c>
      <c r="AF92" t="str">
        <v xml:space="preserve"> customer93@company.com </v>
      </c>
    </row>
    <row r="93" spans="1:32" x14ac:dyDescent="0.35">
      <c r="A93">
        <v>2097</v>
      </c>
      <c r="B93" t="str">
        <f>PROPER(C93)</f>
        <v>Mary Thomas</v>
      </c>
      <c r="C93" t="str">
        <f>TRIM(D93)</f>
        <v>MARY THOMAS</v>
      </c>
      <c r="D93" t="s">
        <v>183</v>
      </c>
      <c r="E93" t="s">
        <v>33</v>
      </c>
      <c r="F93" t="str">
        <f>_xlfn.CONCAT(G93,", ",H93)</f>
        <v>new york, ny</v>
      </c>
      <c r="G93" t="s">
        <v>53</v>
      </c>
      <c r="H93" t="s">
        <v>54</v>
      </c>
      <c r="I93" t="s">
        <v>195</v>
      </c>
      <c r="J93">
        <v>299</v>
      </c>
      <c r="K93">
        <v>3</v>
      </c>
      <c r="L93">
        <v>897</v>
      </c>
      <c r="M93" s="1">
        <v>8810</v>
      </c>
      <c r="N93" t="s">
        <v>184</v>
      </c>
      <c r="O93" t="str">
        <f t="shared" si="2"/>
        <v>Mary Thomas - new york, ny</v>
      </c>
      <c r="S93" t="str">
        <v>2094</v>
      </c>
      <c r="T93" t="str">
        <v>Michael Thomas</v>
      </c>
      <c r="U93" t="str">
        <v>MICHAEL THOMAS</v>
      </c>
      <c r="V93" t="str">
        <v>MICHAEL  THOMAS</v>
      </c>
      <c r="W93" t="str">
        <v>west</v>
      </c>
      <c r="X93" t="str">
        <v>new york, ny</v>
      </c>
      <c r="Y93" t="str">
        <v>new york</v>
      </c>
      <c r="Z93" t="str">
        <v>ny</v>
      </c>
      <c r="AA93" t="str">
        <v xml:space="preserve">Phone  </v>
      </c>
      <c r="AB93" t="str">
        <v>699</v>
      </c>
      <c r="AC93" t="str">
        <v>1</v>
      </c>
      <c r="AD93" t="str">
        <v>699</v>
      </c>
      <c r="AE93" t="str">
        <v>8807</v>
      </c>
      <c r="AF93" t="str">
        <v xml:space="preserve"> customer94@company.com </v>
      </c>
    </row>
    <row r="94" spans="1:32" x14ac:dyDescent="0.35">
      <c r="A94">
        <v>2098</v>
      </c>
      <c r="B94" t="str">
        <f>PROPER(C94)</f>
        <v>William Jackson</v>
      </c>
      <c r="C94" t="str">
        <f>TRIM(D94)</f>
        <v>william jackson</v>
      </c>
      <c r="D94" t="s">
        <v>185</v>
      </c>
      <c r="E94" t="s">
        <v>21</v>
      </c>
      <c r="F94" t="str">
        <f>_xlfn.CONCAT(G94,", ",H94)</f>
        <v>san antonio, tx</v>
      </c>
      <c r="G94" t="s">
        <v>17</v>
      </c>
      <c r="H94" t="s">
        <v>18</v>
      </c>
      <c r="I94" t="s">
        <v>193</v>
      </c>
      <c r="J94">
        <v>699</v>
      </c>
      <c r="K94">
        <v>2</v>
      </c>
      <c r="L94">
        <v>1398</v>
      </c>
      <c r="M94" s="1">
        <v>8811</v>
      </c>
      <c r="N94" t="s">
        <v>186</v>
      </c>
      <c r="O94" t="str">
        <f t="shared" si="2"/>
        <v>William Jackson - san antonio, tx</v>
      </c>
      <c r="S94" t="str">
        <v>2096</v>
      </c>
      <c r="T94" t="str">
        <v>John Moore</v>
      </c>
      <c r="U94" t="str">
        <v>john moore</v>
      </c>
      <c r="V94" t="str">
        <v xml:space="preserve"> john  moore</v>
      </c>
      <c r="W94" t="str">
        <v>midwest</v>
      </c>
      <c r="X94" t="str">
        <v>phoenix, az</v>
      </c>
      <c r="Y94" t="str">
        <v>phoenix</v>
      </c>
      <c r="Z94" t="str">
        <v>az</v>
      </c>
      <c r="AA94" t="str">
        <v xml:space="preserve">Keyboard  </v>
      </c>
      <c r="AB94" t="str">
        <v>89</v>
      </c>
      <c r="AC94" t="str">
        <v>4</v>
      </c>
      <c r="AD94" t="str">
        <v>356</v>
      </c>
      <c r="AE94" t="str">
        <v>8809</v>
      </c>
      <c r="AF94" t="str">
        <v xml:space="preserve"> customer96@company.com </v>
      </c>
    </row>
    <row r="95" spans="1:32" x14ac:dyDescent="0.35">
      <c r="A95">
        <v>2099</v>
      </c>
      <c r="B95" t="str">
        <f>PROPER(C95)</f>
        <v>Robert Moore</v>
      </c>
      <c r="C95" t="str">
        <f>TRIM(D95)</f>
        <v>robert moore</v>
      </c>
      <c r="D95" t="s">
        <v>133</v>
      </c>
      <c r="E95" t="s">
        <v>21</v>
      </c>
      <c r="F95" t="str">
        <f>_xlfn.CONCAT(G95,", ",H95)</f>
        <v>chicago, il</v>
      </c>
      <c r="G95" t="s">
        <v>13</v>
      </c>
      <c r="H95" t="s">
        <v>14</v>
      </c>
      <c r="I95" t="s">
        <v>194</v>
      </c>
      <c r="J95">
        <v>499</v>
      </c>
      <c r="K95">
        <v>5</v>
      </c>
      <c r="L95">
        <v>2495</v>
      </c>
      <c r="M95" s="1">
        <v>8812</v>
      </c>
      <c r="N95" t="s">
        <v>187</v>
      </c>
      <c r="O95" t="str">
        <f t="shared" si="2"/>
        <v>Robert Moore - chicago, il</v>
      </c>
      <c r="S95" t="str">
        <v>2097</v>
      </c>
      <c r="T95" t="str">
        <v>Mary Thomas</v>
      </c>
      <c r="U95" t="str">
        <v>MARY THOMAS</v>
      </c>
      <c r="V95" t="str">
        <v>MARY  THOMAS</v>
      </c>
      <c r="W95" t="str">
        <v>midwest</v>
      </c>
      <c r="X95" t="str">
        <v>new york, ny</v>
      </c>
      <c r="Y95" t="str">
        <v>new york</v>
      </c>
      <c r="Z95" t="str">
        <v>ny</v>
      </c>
      <c r="AA95" t="str">
        <v xml:space="preserve">Monitor  </v>
      </c>
      <c r="AB95" t="str">
        <v>299</v>
      </c>
      <c r="AC95" t="str">
        <v>3</v>
      </c>
      <c r="AD95" t="str">
        <v>897</v>
      </c>
      <c r="AE95" t="str">
        <v>8810</v>
      </c>
      <c r="AF95" t="str">
        <v xml:space="preserve"> customer97@company.com </v>
      </c>
    </row>
    <row r="96" spans="1:32" x14ac:dyDescent="0.35">
      <c r="A96">
        <v>2100</v>
      </c>
      <c r="B96" t="str">
        <f>PROPER(C96)</f>
        <v>Patricia Johnson</v>
      </c>
      <c r="C96" t="str">
        <f>TRIM(D96)</f>
        <v>patricia JOHNSON</v>
      </c>
      <c r="D96" t="s">
        <v>52</v>
      </c>
      <c r="E96" t="s">
        <v>12</v>
      </c>
      <c r="F96" t="str">
        <f>_xlfn.CONCAT(G96,", ",H96)</f>
        <v>los angeles, ca</v>
      </c>
      <c r="G96" t="s">
        <v>34</v>
      </c>
      <c r="H96" t="s">
        <v>25</v>
      </c>
      <c r="I96" t="s">
        <v>195</v>
      </c>
      <c r="J96">
        <v>299</v>
      </c>
      <c r="K96">
        <v>1</v>
      </c>
      <c r="L96">
        <v>299</v>
      </c>
      <c r="M96" s="1">
        <v>8813</v>
      </c>
      <c r="N96" t="s">
        <v>188</v>
      </c>
      <c r="O96" t="str">
        <f t="shared" si="2"/>
        <v>Patricia Johnson - los angeles, ca</v>
      </c>
      <c r="S96" t="str">
        <v>2098</v>
      </c>
      <c r="T96" t="str">
        <v>William Jackson</v>
      </c>
      <c r="U96" t="str">
        <v>william jackson</v>
      </c>
      <c r="V96" t="str">
        <v xml:space="preserve"> william  jackson</v>
      </c>
      <c r="W96" t="str">
        <v>west</v>
      </c>
      <c r="X96" t="str">
        <v>san antonio, tx</v>
      </c>
      <c r="Y96" t="str">
        <v>san antonio</v>
      </c>
      <c r="Z96" t="str">
        <v>tx</v>
      </c>
      <c r="AA96" t="str">
        <v xml:space="preserve">Phone  </v>
      </c>
      <c r="AB96" t="str">
        <v>699</v>
      </c>
      <c r="AC96" t="str">
        <v>2</v>
      </c>
      <c r="AD96" t="str">
        <v>1398</v>
      </c>
      <c r="AE96" t="str">
        <v>8811</v>
      </c>
      <c r="AF96" t="str">
        <v xml:space="preserve"> customer98@company.com </v>
      </c>
    </row>
    <row r="97" spans="2:32" x14ac:dyDescent="0.35">
      <c r="B97" t="str">
        <f>PROPER(C97)</f>
        <v/>
      </c>
      <c r="S97" t="str">
        <v>2099</v>
      </c>
      <c r="T97" t="str">
        <v>Robert Moore</v>
      </c>
      <c r="U97" t="str">
        <v>robert moore</v>
      </c>
      <c r="V97" t="str">
        <v xml:space="preserve"> robert   moore</v>
      </c>
      <c r="W97" t="str">
        <v>west</v>
      </c>
      <c r="X97" t="str">
        <v>chicago, il</v>
      </c>
      <c r="Y97" t="str">
        <v>chicago</v>
      </c>
      <c r="Z97" t="str">
        <v>il</v>
      </c>
      <c r="AA97" t="str">
        <v xml:space="preserve">Tablet  </v>
      </c>
      <c r="AB97" t="str">
        <v>499</v>
      </c>
      <c r="AC97" t="str">
        <v>5</v>
      </c>
      <c r="AD97" t="str">
        <v>2495</v>
      </c>
      <c r="AE97" t="str">
        <v>8812</v>
      </c>
      <c r="AF97" t="str">
        <v xml:space="preserve"> customer99@company.com </v>
      </c>
    </row>
    <row r="98" spans="2:32" x14ac:dyDescent="0.35">
      <c r="S98" t="str">
        <v>2100</v>
      </c>
      <c r="T98" t="str">
        <v>Patricia Johnson</v>
      </c>
      <c r="U98" t="str">
        <v>patricia JOHNSON</v>
      </c>
      <c r="V98" t="str">
        <v xml:space="preserve"> patricia JOHNSON</v>
      </c>
      <c r="W98" t="str">
        <v>south</v>
      </c>
      <c r="X98" t="str">
        <v>los angeles, ca</v>
      </c>
      <c r="Y98" t="str">
        <v>los angeles</v>
      </c>
      <c r="Z98" t="str">
        <v>ca</v>
      </c>
      <c r="AA98" t="str">
        <v xml:space="preserve">Monitor  </v>
      </c>
      <c r="AB98" t="str">
        <v>299</v>
      </c>
      <c r="AC98" t="str">
        <v>1</v>
      </c>
      <c r="AD98" t="str">
        <v>299</v>
      </c>
      <c r="AE98" t="str">
        <v>8813</v>
      </c>
      <c r="AF98" t="str">
        <v xml:space="preserve"> customer100@company.com </v>
      </c>
    </row>
  </sheetData>
  <conditionalFormatting sqref="L1:L97 L104:L1048576">
    <cfRule type="cellIs" dxfId="0" priority="1" operator="greaterThan">
      <formula>1000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55C4D-3998-4BC9-954E-D8C334868A55}">
  <dimension ref="A3:F69"/>
  <sheetViews>
    <sheetView workbookViewId="0">
      <selection activeCell="A3" sqref="A3"/>
    </sheetView>
  </sheetViews>
  <sheetFormatPr defaultRowHeight="14.5" x14ac:dyDescent="0.35"/>
  <cols>
    <col min="1" max="2" width="15.6328125" bestFit="1" customWidth="1"/>
    <col min="3" max="3" width="15.6328125" customWidth="1"/>
    <col min="4" max="4" width="32.36328125" bestFit="1" customWidth="1"/>
  </cols>
  <sheetData>
    <row r="3" spans="1:6" x14ac:dyDescent="0.35">
      <c r="A3" s="2" t="s">
        <v>197</v>
      </c>
      <c r="B3" t="s">
        <v>200</v>
      </c>
    </row>
    <row r="4" spans="1:6" x14ac:dyDescent="0.35">
      <c r="A4" s="3" t="s">
        <v>211</v>
      </c>
      <c r="B4" s="4">
        <v>699</v>
      </c>
      <c r="C4" s="4"/>
    </row>
    <row r="5" spans="1:6" x14ac:dyDescent="0.35">
      <c r="A5" s="3" t="s">
        <v>212</v>
      </c>
      <c r="B5" s="4">
        <v>1996</v>
      </c>
      <c r="C5" s="4"/>
    </row>
    <row r="6" spans="1:6" x14ac:dyDescent="0.35">
      <c r="A6" s="3" t="s">
        <v>213</v>
      </c>
      <c r="B6" s="4">
        <v>3495</v>
      </c>
      <c r="C6" s="4"/>
    </row>
    <row r="7" spans="1:6" x14ac:dyDescent="0.35">
      <c r="A7" s="3" t="s">
        <v>214</v>
      </c>
      <c r="B7" s="4">
        <v>1196</v>
      </c>
      <c r="C7" s="4"/>
    </row>
    <row r="8" spans="1:6" x14ac:dyDescent="0.35">
      <c r="A8" s="3" t="s">
        <v>215</v>
      </c>
      <c r="B8" s="4">
        <v>897</v>
      </c>
      <c r="C8" s="4"/>
    </row>
    <row r="9" spans="1:6" x14ac:dyDescent="0.35">
      <c r="A9" s="3" t="s">
        <v>216</v>
      </c>
      <c r="B9" s="4">
        <v>5449</v>
      </c>
      <c r="C9" s="4"/>
    </row>
    <row r="10" spans="1:6" x14ac:dyDescent="0.35">
      <c r="A10" s="3" t="s">
        <v>217</v>
      </c>
      <c r="B10" s="4">
        <v>4194</v>
      </c>
      <c r="C10" s="4"/>
    </row>
    <row r="11" spans="1:6" x14ac:dyDescent="0.35">
      <c r="A11" s="3" t="s">
        <v>218</v>
      </c>
      <c r="B11" s="4">
        <v>2796</v>
      </c>
      <c r="C11" s="4"/>
    </row>
    <row r="12" spans="1:6" x14ac:dyDescent="0.35">
      <c r="A12" s="3" t="s">
        <v>219</v>
      </c>
      <c r="B12" s="4">
        <v>4495</v>
      </c>
      <c r="C12" s="4"/>
    </row>
    <row r="13" spans="1:6" x14ac:dyDescent="0.35">
      <c r="A13" s="3" t="s">
        <v>220</v>
      </c>
      <c r="B13" s="4">
        <v>3560</v>
      </c>
      <c r="C13" s="4"/>
    </row>
    <row r="14" spans="1:6" x14ac:dyDescent="0.35">
      <c r="A14" s="3" t="s">
        <v>221</v>
      </c>
      <c r="B14" s="4">
        <v>4495</v>
      </c>
      <c r="C14" s="4"/>
    </row>
    <row r="15" spans="1:6" x14ac:dyDescent="0.35">
      <c r="A15" s="3" t="s">
        <v>222</v>
      </c>
      <c r="B15" s="4">
        <v>3596</v>
      </c>
      <c r="C15" s="4"/>
      <c r="D15" t="s">
        <v>206</v>
      </c>
      <c r="E15" t="s">
        <v>201</v>
      </c>
      <c r="F15">
        <v>6319</v>
      </c>
    </row>
    <row r="16" spans="1:6" x14ac:dyDescent="0.35">
      <c r="A16" s="3" t="s">
        <v>223</v>
      </c>
      <c r="B16" s="4">
        <v>4495</v>
      </c>
      <c r="C16" s="4"/>
      <c r="E16" t="s">
        <v>202</v>
      </c>
      <c r="F16">
        <v>73718</v>
      </c>
    </row>
    <row r="17" spans="1:6" x14ac:dyDescent="0.35">
      <c r="A17" s="3" t="s">
        <v>224</v>
      </c>
      <c r="B17" s="4">
        <v>89</v>
      </c>
      <c r="C17" s="4"/>
      <c r="E17" t="s">
        <v>203</v>
      </c>
      <c r="F17">
        <v>14950</v>
      </c>
    </row>
    <row r="18" spans="1:6" x14ac:dyDescent="0.35">
      <c r="A18" s="3" t="s">
        <v>225</v>
      </c>
      <c r="B18" s="4">
        <v>1996</v>
      </c>
      <c r="C18" s="4"/>
      <c r="E18" t="s">
        <v>204</v>
      </c>
      <c r="F18">
        <v>34950</v>
      </c>
    </row>
    <row r="19" spans="1:6" x14ac:dyDescent="0.35">
      <c r="A19" s="3" t="s">
        <v>210</v>
      </c>
      <c r="B19" s="4">
        <v>1495</v>
      </c>
      <c r="C19" s="4"/>
      <c r="E19" t="s">
        <v>205</v>
      </c>
      <c r="F19">
        <v>30439</v>
      </c>
    </row>
    <row r="20" spans="1:6" x14ac:dyDescent="0.35">
      <c r="A20" s="3" t="s">
        <v>226</v>
      </c>
      <c r="B20" s="4">
        <v>899</v>
      </c>
      <c r="C20" s="4"/>
    </row>
    <row r="21" spans="1:6" x14ac:dyDescent="0.35">
      <c r="A21" s="3" t="s">
        <v>227</v>
      </c>
      <c r="B21" s="4">
        <v>699</v>
      </c>
      <c r="C21" s="4"/>
      <c r="D21" t="s">
        <v>207</v>
      </c>
      <c r="E21" t="s">
        <v>209</v>
      </c>
      <c r="F21">
        <v>46177</v>
      </c>
    </row>
    <row r="22" spans="1:6" x14ac:dyDescent="0.35">
      <c r="A22" s="3" t="s">
        <v>228</v>
      </c>
      <c r="B22" s="4">
        <v>6491</v>
      </c>
      <c r="C22" s="4"/>
      <c r="D22" t="s">
        <v>208</v>
      </c>
    </row>
    <row r="23" spans="1:6" x14ac:dyDescent="0.35">
      <c r="A23" s="3" t="s">
        <v>229</v>
      </c>
      <c r="B23" s="4">
        <v>3495</v>
      </c>
      <c r="C23" s="4"/>
    </row>
    <row r="24" spans="1:6" x14ac:dyDescent="0.35">
      <c r="A24" s="3" t="s">
        <v>230</v>
      </c>
      <c r="B24" s="4">
        <v>445</v>
      </c>
      <c r="C24" s="4"/>
    </row>
    <row r="25" spans="1:6" x14ac:dyDescent="0.35">
      <c r="A25" s="3" t="s">
        <v>231</v>
      </c>
      <c r="B25" s="4">
        <v>1495</v>
      </c>
      <c r="C25" s="4"/>
    </row>
    <row r="26" spans="1:6" x14ac:dyDescent="0.35">
      <c r="A26" s="3" t="s">
        <v>232</v>
      </c>
      <c r="B26" s="4">
        <v>2796</v>
      </c>
      <c r="C26" s="4"/>
    </row>
    <row r="27" spans="1:6" x14ac:dyDescent="0.35">
      <c r="A27" s="3" t="s">
        <v>233</v>
      </c>
      <c r="B27" s="4">
        <v>1843</v>
      </c>
      <c r="C27" s="4"/>
    </row>
    <row r="28" spans="1:6" x14ac:dyDescent="0.35">
      <c r="A28" s="3" t="s">
        <v>234</v>
      </c>
      <c r="B28" s="4">
        <v>899</v>
      </c>
      <c r="C28" s="4"/>
    </row>
    <row r="29" spans="1:6" x14ac:dyDescent="0.35">
      <c r="A29" s="3" t="s">
        <v>235</v>
      </c>
      <c r="B29" s="4">
        <v>4948</v>
      </c>
      <c r="C29" s="4"/>
    </row>
    <row r="30" spans="1:6" x14ac:dyDescent="0.35">
      <c r="A30" s="3" t="s">
        <v>236</v>
      </c>
      <c r="B30" s="4">
        <v>1665</v>
      </c>
      <c r="C30" s="4"/>
    </row>
    <row r="31" spans="1:6" x14ac:dyDescent="0.35">
      <c r="A31" s="3" t="s">
        <v>237</v>
      </c>
      <c r="B31" s="4">
        <v>1398</v>
      </c>
      <c r="C31" s="4"/>
    </row>
    <row r="32" spans="1:6" x14ac:dyDescent="0.35">
      <c r="A32" s="3" t="s">
        <v>238</v>
      </c>
      <c r="B32" s="4">
        <v>1497</v>
      </c>
      <c r="C32" s="4"/>
    </row>
    <row r="33" spans="1:3" x14ac:dyDescent="0.35">
      <c r="A33" s="3" t="s">
        <v>239</v>
      </c>
      <c r="B33" s="4">
        <v>4851</v>
      </c>
      <c r="C33" s="4"/>
    </row>
    <row r="34" spans="1:3" x14ac:dyDescent="0.35">
      <c r="A34" s="3" t="s">
        <v>240</v>
      </c>
      <c r="B34" s="4">
        <v>267</v>
      </c>
      <c r="C34" s="4"/>
    </row>
    <row r="35" spans="1:3" x14ac:dyDescent="0.35">
      <c r="A35" s="3" t="s">
        <v>241</v>
      </c>
      <c r="B35" s="4">
        <v>5392</v>
      </c>
      <c r="C35" s="4"/>
    </row>
    <row r="36" spans="1:3" x14ac:dyDescent="0.35">
      <c r="A36" s="3" t="s">
        <v>242</v>
      </c>
      <c r="B36" s="4">
        <v>1853</v>
      </c>
      <c r="C36" s="4"/>
    </row>
    <row r="37" spans="1:3" x14ac:dyDescent="0.35">
      <c r="A37" s="3" t="s">
        <v>243</v>
      </c>
      <c r="B37" s="4">
        <v>1497</v>
      </c>
      <c r="C37" s="4"/>
    </row>
    <row r="38" spans="1:3" x14ac:dyDescent="0.35">
      <c r="A38" s="3" t="s">
        <v>244</v>
      </c>
      <c r="B38" s="4">
        <v>4495</v>
      </c>
      <c r="C38" s="4"/>
    </row>
    <row r="39" spans="1:3" x14ac:dyDescent="0.35">
      <c r="A39" s="3" t="s">
        <v>245</v>
      </c>
      <c r="B39" s="4">
        <v>2174</v>
      </c>
      <c r="C39" s="4"/>
    </row>
    <row r="40" spans="1:3" x14ac:dyDescent="0.35">
      <c r="A40" s="3" t="s">
        <v>246</v>
      </c>
      <c r="B40" s="4">
        <v>1176</v>
      </c>
      <c r="C40" s="4"/>
    </row>
    <row r="41" spans="1:3" x14ac:dyDescent="0.35">
      <c r="A41" s="3" t="s">
        <v>247</v>
      </c>
      <c r="B41" s="4">
        <v>2097</v>
      </c>
      <c r="C41" s="4"/>
    </row>
    <row r="42" spans="1:3" x14ac:dyDescent="0.35">
      <c r="A42" s="3" t="s">
        <v>248</v>
      </c>
      <c r="B42" s="4">
        <v>499</v>
      </c>
      <c r="C42" s="4"/>
    </row>
    <row r="43" spans="1:3" x14ac:dyDescent="0.35">
      <c r="A43" s="3" t="s">
        <v>249</v>
      </c>
      <c r="B43" s="4">
        <v>1996</v>
      </c>
      <c r="C43" s="4"/>
    </row>
    <row r="44" spans="1:3" x14ac:dyDescent="0.35">
      <c r="A44" s="3" t="s">
        <v>250</v>
      </c>
      <c r="B44" s="4">
        <v>897</v>
      </c>
      <c r="C44" s="4"/>
    </row>
    <row r="45" spans="1:3" x14ac:dyDescent="0.35">
      <c r="A45" s="3" t="s">
        <v>251</v>
      </c>
      <c r="B45" s="4">
        <v>2495</v>
      </c>
      <c r="C45" s="4"/>
    </row>
    <row r="46" spans="1:3" x14ac:dyDescent="0.35">
      <c r="A46" s="3" t="s">
        <v>252</v>
      </c>
      <c r="B46" s="4">
        <v>89</v>
      </c>
      <c r="C46" s="4"/>
    </row>
    <row r="47" spans="1:3" x14ac:dyDescent="0.35">
      <c r="A47" s="3" t="s">
        <v>253</v>
      </c>
      <c r="B47" s="4">
        <v>1398</v>
      </c>
      <c r="C47" s="4"/>
    </row>
    <row r="48" spans="1:3" x14ac:dyDescent="0.35">
      <c r="A48" s="3" t="s">
        <v>254</v>
      </c>
      <c r="B48" s="4">
        <v>2619</v>
      </c>
      <c r="C48" s="4"/>
    </row>
    <row r="49" spans="1:3" x14ac:dyDescent="0.35">
      <c r="A49" s="3" t="s">
        <v>255</v>
      </c>
      <c r="B49" s="4">
        <v>4992</v>
      </c>
      <c r="C49" s="4"/>
    </row>
    <row r="50" spans="1:3" x14ac:dyDescent="0.35">
      <c r="A50" s="3" t="s">
        <v>256</v>
      </c>
      <c r="B50" s="4">
        <v>8390</v>
      </c>
      <c r="C50" s="4"/>
    </row>
    <row r="51" spans="1:3" x14ac:dyDescent="0.35">
      <c r="A51" s="3" t="s">
        <v>257</v>
      </c>
      <c r="B51" s="4">
        <v>699</v>
      </c>
      <c r="C51" s="4"/>
    </row>
    <row r="52" spans="1:3" x14ac:dyDescent="0.35">
      <c r="A52" s="3" t="s">
        <v>258</v>
      </c>
      <c r="B52" s="4">
        <v>1794</v>
      </c>
      <c r="C52" s="4"/>
    </row>
    <row r="53" spans="1:3" x14ac:dyDescent="0.35">
      <c r="A53" s="3" t="s">
        <v>259</v>
      </c>
      <c r="B53" s="4">
        <v>1196</v>
      </c>
      <c r="C53" s="4"/>
    </row>
    <row r="54" spans="1:3" x14ac:dyDescent="0.35">
      <c r="A54" s="3" t="s">
        <v>260</v>
      </c>
      <c r="B54" s="4">
        <v>712</v>
      </c>
      <c r="C54" s="4"/>
    </row>
    <row r="55" spans="1:3" x14ac:dyDescent="0.35">
      <c r="A55" s="3" t="s">
        <v>261</v>
      </c>
      <c r="B55" s="4">
        <v>178</v>
      </c>
      <c r="C55" s="4"/>
    </row>
    <row r="56" spans="1:3" x14ac:dyDescent="0.35">
      <c r="A56" s="3" t="s">
        <v>262</v>
      </c>
      <c r="B56" s="4">
        <v>6192</v>
      </c>
      <c r="C56" s="4"/>
    </row>
    <row r="57" spans="1:3" x14ac:dyDescent="0.35">
      <c r="A57" s="3" t="s">
        <v>263</v>
      </c>
      <c r="B57" s="4">
        <v>4495</v>
      </c>
      <c r="C57" s="4"/>
    </row>
    <row r="58" spans="1:3" x14ac:dyDescent="0.35">
      <c r="A58" s="3" t="s">
        <v>264</v>
      </c>
      <c r="B58" s="4">
        <v>598</v>
      </c>
      <c r="C58" s="4"/>
    </row>
    <row r="59" spans="1:3" x14ac:dyDescent="0.35">
      <c r="A59" s="3" t="s">
        <v>265</v>
      </c>
      <c r="B59" s="4">
        <v>897</v>
      </c>
      <c r="C59" s="4"/>
    </row>
    <row r="60" spans="1:3" x14ac:dyDescent="0.35">
      <c r="A60" s="3" t="s">
        <v>266</v>
      </c>
      <c r="B60" s="4">
        <v>445</v>
      </c>
      <c r="C60" s="4"/>
    </row>
    <row r="61" spans="1:3" x14ac:dyDescent="0.35">
      <c r="A61" s="3" t="s">
        <v>267</v>
      </c>
      <c r="B61" s="4">
        <v>3990</v>
      </c>
      <c r="C61" s="4"/>
    </row>
    <row r="62" spans="1:3" x14ac:dyDescent="0.35">
      <c r="A62" s="3" t="s">
        <v>268</v>
      </c>
      <c r="B62" s="4">
        <v>1996</v>
      </c>
      <c r="C62" s="4"/>
    </row>
    <row r="63" spans="1:3" x14ac:dyDescent="0.35">
      <c r="A63" s="3" t="s">
        <v>269</v>
      </c>
      <c r="B63" s="4">
        <v>7192</v>
      </c>
      <c r="C63" s="4"/>
    </row>
    <row r="64" spans="1:3" x14ac:dyDescent="0.35">
      <c r="A64" s="3" t="s">
        <v>270</v>
      </c>
      <c r="B64" s="4">
        <v>445</v>
      </c>
      <c r="C64" s="4"/>
    </row>
    <row r="65" spans="1:3" x14ac:dyDescent="0.35">
      <c r="A65" s="3" t="s">
        <v>271</v>
      </c>
      <c r="B65" s="4">
        <v>1398</v>
      </c>
      <c r="C65" s="4"/>
    </row>
    <row r="66" spans="1:3" x14ac:dyDescent="0.35">
      <c r="A66" s="3" t="s">
        <v>272</v>
      </c>
      <c r="B66" s="4">
        <v>267</v>
      </c>
      <c r="C66" s="4"/>
    </row>
    <row r="67" spans="1:3" x14ac:dyDescent="0.35">
      <c r="A67" s="3" t="s">
        <v>273</v>
      </c>
      <c r="B67" s="4">
        <v>3596</v>
      </c>
      <c r="C67" s="4"/>
    </row>
    <row r="68" spans="1:3" x14ac:dyDescent="0.35">
      <c r="A68" s="3" t="s">
        <v>274</v>
      </c>
      <c r="B68" s="4">
        <v>3596</v>
      </c>
      <c r="C68" s="4"/>
    </row>
    <row r="69" spans="1:3" x14ac:dyDescent="0.35">
      <c r="A69" s="3" t="s">
        <v>199</v>
      </c>
      <c r="B69" s="4">
        <v>160376</v>
      </c>
      <c r="C6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Sheet4</vt:lpstr>
      <vt:lpstr>Raw Sales Data</vt:lpstr>
      <vt:lpstr>Final Task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dimitri nji</cp:lastModifiedBy>
  <dcterms:created xsi:type="dcterms:W3CDTF">2026-04-09T12:04:05Z</dcterms:created>
  <dcterms:modified xsi:type="dcterms:W3CDTF">2026-04-10T06:12:30Z</dcterms:modified>
</cp:coreProperties>
</file>